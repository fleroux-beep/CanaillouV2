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rive partagés\05 - Finances - comptabilité\61-Baux\03 - BAUX OK\Bail LPC51 LE PLESSIS-BOUCHARD - SCI GENERAL ouverture 09-2024\"/>
    </mc:Choice>
  </mc:AlternateContent>
  <xr:revisionPtr revIDLastSave="0" documentId="13_ncr:1_{EA722CC6-F304-4854-ADB9-A895E559C579}" xr6:coauthVersionLast="47" xr6:coauthVersionMax="47" xr10:uidLastSave="{00000000-0000-0000-0000-000000000000}"/>
  <bookViews>
    <workbookView xWindow="-23148" yWindow="-108" windowWidth="23256" windowHeight="12456" xr2:uid="{2BC2E6E9-C79E-4F52-80EC-D2476AE53E0B}"/>
  </bookViews>
  <sheets>
    <sheet name="BAIL" sheetId="1" r:id="rId1"/>
    <sheet name="INFOS POUR 6660-REV" sheetId="4" r:id="rId2"/>
    <sheet name="CHARGES" sheetId="2" state="hidden" r:id="rId3"/>
    <sheet name="TAXES" sheetId="3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3" i="1" l="1"/>
  <c r="B14" i="1"/>
  <c r="B8" i="1"/>
  <c r="F10" i="1"/>
  <c r="C9" i="1" l="1"/>
  <c r="C12" i="1" s="1"/>
  <c r="C8" i="1" l="1"/>
  <c r="B12" i="1"/>
  <c r="D9" i="1"/>
  <c r="E9" i="1" s="1"/>
  <c r="D8" i="1" l="1"/>
  <c r="E8" i="1" s="1"/>
  <c r="F8" i="1" s="1"/>
  <c r="G8" i="1" s="1"/>
  <c r="H8" i="1" s="1"/>
  <c r="I8" i="1" s="1"/>
  <c r="J8" i="1" s="1"/>
  <c r="K8" i="1" s="1"/>
  <c r="L8" i="1" s="1"/>
  <c r="D12" i="1" l="1"/>
  <c r="F9" i="1" l="1"/>
  <c r="E12" i="1"/>
  <c r="G9" i="1" l="1"/>
  <c r="F12" i="1"/>
  <c r="H9" i="1" l="1"/>
  <c r="G12" i="1"/>
  <c r="I9" i="1" l="1"/>
  <c r="H12" i="1"/>
  <c r="J9" i="1" l="1"/>
  <c r="I12" i="1"/>
  <c r="K9" i="1" l="1"/>
  <c r="J12" i="1"/>
  <c r="K12" i="1" l="1"/>
  <c r="L9" i="1"/>
  <c r="L1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tc={608A678D-F669-49FB-912A-0E0E3E903D45}</author>
  </authors>
  <commentList>
    <comment ref="B9" authorId="0" shapeId="0" xr:uid="{608A678D-F669-49FB-912A-0E0E3E903D4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6 mois de franchise a compter de la prise d'effet seule les charges sont à payer</t>
      </text>
    </comment>
  </commentList>
</comments>
</file>

<file path=xl/sharedStrings.xml><?xml version="1.0" encoding="utf-8"?>
<sst xmlns="http://schemas.openxmlformats.org/spreadsheetml/2006/main" count="47" uniqueCount="41">
  <si>
    <t>BAILLEUR</t>
  </si>
  <si>
    <t>DATE DU BAIL</t>
  </si>
  <si>
    <t>DUREE</t>
  </si>
  <si>
    <t>ANNEE</t>
  </si>
  <si>
    <t>INITIAL</t>
  </si>
  <si>
    <t xml:space="preserve">PROVISIONS POUR CHARGES </t>
  </si>
  <si>
    <t>FRAIS ASSURANCES</t>
  </si>
  <si>
    <t xml:space="preserve">AUTRES CHARGES </t>
  </si>
  <si>
    <t xml:space="preserve">HONORAIRES </t>
  </si>
  <si>
    <t>ANNEES</t>
  </si>
  <si>
    <t xml:space="preserve">TAXES FONCIERES </t>
  </si>
  <si>
    <t xml:space="preserve">AUTRES TAXES </t>
  </si>
  <si>
    <t>REGULARISATION TAXE FONCIERE</t>
  </si>
  <si>
    <t>AJUSTEMENT DEPOT DE GARANTIE</t>
  </si>
  <si>
    <t>-</t>
  </si>
  <si>
    <t>LOYER ANNUEL HT (HORS CHARGES)</t>
  </si>
  <si>
    <t>LOYER MENSUEL HT (HORS CHARGES)</t>
  </si>
  <si>
    <t>SUPERFICIE</t>
  </si>
  <si>
    <t>DATE PRISE EFFET</t>
  </si>
  <si>
    <t>DEPOT DE GARANTIE 3 mois de loyer</t>
  </si>
  <si>
    <t>REDUCTION</t>
  </si>
  <si>
    <t>INDICE (INDEXATION DU LOYER) ILC 3T</t>
  </si>
  <si>
    <t>charges 12 mois</t>
  </si>
  <si>
    <t>LPC 47 NICE</t>
  </si>
  <si>
    <t>OCCUPANT</t>
  </si>
  <si>
    <t>ADRESSE BIEN</t>
  </si>
  <si>
    <t>PROPRIETAIRE</t>
  </si>
  <si>
    <t>NOM</t>
  </si>
  <si>
    <t xml:space="preserve">ADRESSE </t>
  </si>
  <si>
    <t>CODE POSTALE</t>
  </si>
  <si>
    <t>VILLE</t>
  </si>
  <si>
    <t xml:space="preserve">DATE D'ACQUISITION </t>
  </si>
  <si>
    <t>AFFECTATION LOCAUX AVANT OUVERTURE CRECHE</t>
  </si>
  <si>
    <t>PLAN</t>
  </si>
  <si>
    <t>SURFACE LOCATIVE EXTERIEURE</t>
  </si>
  <si>
    <t>DATE OUVERTURE CRECHE</t>
  </si>
  <si>
    <t>DAACT (dossier mise à dispo)</t>
  </si>
  <si>
    <t>DOSSIER PC (dossier mise à dispo)</t>
  </si>
  <si>
    <t xml:space="preserve">SCI GENERAL JULES BRIMONT </t>
  </si>
  <si>
    <t>FRANCHISE (mois°</t>
  </si>
  <si>
    <t>LPC LE PLESSIS-BOUCHARD                                                                                       56 Chaussée Jules César - 95130 LE PLESSIS-BOUCHARD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</si>
</sst>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#,##0\ &quot;€&quot;;[Red]\-#,##0\ &quot;€&quot;"/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#,##0.00\ &quot;€&quot;"/>
    <numFmt numFmtId="165" formatCode="_-* #,##0.00\ [$€-40C]_-;\-* #,##0.00\ [$€-40C]_-;_-* &quot;-&quot;??\ [$€-40C]_-;_-@_-"/>
    <numFmt numFmtId="166" formatCode="_-* #,##0.00\ _€_-;\-* #,##0.00\ _€_-;_-* &quot;-&quot;??\ _€_-;_-@_-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68">
    <xf numFmtId="0" fontId="0" fillId="0" borderId="0" xfId="0"/>
    <xf numFmtId="0" fontId="2" fillId="2" borderId="3" xfId="0" applyFont="1" applyFill="1" applyBorder="1"/>
    <xf numFmtId="0" fontId="2" fillId="2" borderId="4" xfId="0" applyFont="1" applyFill="1" applyBorder="1"/>
    <xf numFmtId="164" fontId="0" fillId="0" borderId="4" xfId="0" applyNumberFormat="1" applyBorder="1" applyAlignment="1">
      <alignment horizontal="center" vertical="center"/>
    </xf>
    <xf numFmtId="0" fontId="2" fillId="2" borderId="5" xfId="0" applyFont="1" applyFill="1" applyBorder="1"/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2" borderId="7" xfId="0" applyFont="1" applyFill="1" applyBorder="1"/>
    <xf numFmtId="165" fontId="0" fillId="0" borderId="4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44" fontId="0" fillId="0" borderId="8" xfId="0" applyNumberFormat="1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44" fontId="0" fillId="0" borderId="5" xfId="0" applyNumberFormat="1" applyBorder="1" applyAlignment="1">
      <alignment horizontal="center" vertical="center"/>
    </xf>
    <xf numFmtId="0" fontId="0" fillId="0" borderId="9" xfId="0" applyBorder="1" applyAlignment="1">
      <alignment horizontal="center"/>
    </xf>
    <xf numFmtId="14" fontId="0" fillId="0" borderId="6" xfId="0" applyNumberFormat="1" applyBorder="1" applyAlignment="1">
      <alignment horizontal="center"/>
    </xf>
    <xf numFmtId="165" fontId="0" fillId="0" borderId="0" xfId="0" applyNumberFormat="1"/>
    <xf numFmtId="44" fontId="0" fillId="0" borderId="13" xfId="2" applyFont="1" applyBorder="1"/>
    <xf numFmtId="0" fontId="2" fillId="2" borderId="14" xfId="0" applyFont="1" applyFill="1" applyBorder="1"/>
    <xf numFmtId="0" fontId="2" fillId="2" borderId="15" xfId="0" applyFont="1" applyFill="1" applyBorder="1"/>
    <xf numFmtId="0" fontId="0" fillId="0" borderId="0" xfId="0" applyAlignment="1">
      <alignment wrapText="1"/>
    </xf>
    <xf numFmtId="0" fontId="2" fillId="2" borderId="4" xfId="0" applyFont="1" applyFill="1" applyBorder="1" applyAlignment="1">
      <alignment vertical="center" wrapText="1"/>
    </xf>
    <xf numFmtId="44" fontId="0" fillId="0" borderId="17" xfId="2" applyFont="1" applyBorder="1"/>
    <xf numFmtId="164" fontId="0" fillId="0" borderId="16" xfId="1" applyNumberFormat="1" applyFont="1" applyBorder="1" applyAlignment="1">
      <alignment horizontal="center"/>
    </xf>
    <xf numFmtId="164" fontId="0" fillId="0" borderId="18" xfId="1" applyNumberFormat="1" applyFont="1" applyBorder="1" applyAlignment="1">
      <alignment horizontal="center"/>
    </xf>
    <xf numFmtId="44" fontId="0" fillId="0" borderId="12" xfId="2" applyFont="1" applyBorder="1"/>
    <xf numFmtId="164" fontId="0" fillId="0" borderId="20" xfId="1" applyNumberFormat="1" applyFont="1" applyBorder="1" applyAlignment="1">
      <alignment horizontal="center"/>
    </xf>
    <xf numFmtId="164" fontId="0" fillId="0" borderId="21" xfId="1" applyNumberFormat="1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5" xfId="0" applyBorder="1" applyAlignment="1">
      <alignment horizontal="center"/>
    </xf>
    <xf numFmtId="44" fontId="0" fillId="0" borderId="22" xfId="2" applyFont="1" applyBorder="1"/>
    <xf numFmtId="44" fontId="0" fillId="0" borderId="23" xfId="2" applyFont="1" applyBorder="1"/>
    <xf numFmtId="44" fontId="0" fillId="0" borderId="24" xfId="2" applyFont="1" applyBorder="1"/>
    <xf numFmtId="0" fontId="2" fillId="2" borderId="26" xfId="0" applyFont="1" applyFill="1" applyBorder="1"/>
    <xf numFmtId="6" fontId="0" fillId="4" borderId="12" xfId="0" applyNumberFormat="1" applyFill="1" applyBorder="1"/>
    <xf numFmtId="0" fontId="0" fillId="0" borderId="27" xfId="0" applyBorder="1"/>
    <xf numFmtId="0" fontId="0" fillId="0" borderId="12" xfId="0" applyBorder="1" applyAlignment="1">
      <alignment horizontal="center"/>
    </xf>
    <xf numFmtId="0" fontId="0" fillId="0" borderId="26" xfId="0" applyBorder="1"/>
    <xf numFmtId="0" fontId="0" fillId="0" borderId="29" xfId="0" applyBorder="1"/>
    <xf numFmtId="0" fontId="0" fillId="0" borderId="14" xfId="0" applyBorder="1" applyAlignment="1">
      <alignment horizontal="center"/>
    </xf>
    <xf numFmtId="0" fontId="0" fillId="0" borderId="30" xfId="0" applyBorder="1"/>
    <xf numFmtId="0" fontId="0" fillId="0" borderId="4" xfId="0" applyBorder="1" applyAlignment="1">
      <alignment horizontal="center"/>
    </xf>
    <xf numFmtId="0" fontId="0" fillId="0" borderId="31" xfId="0" applyBorder="1"/>
    <xf numFmtId="14" fontId="0" fillId="0" borderId="7" xfId="0" applyNumberFormat="1" applyBorder="1" applyAlignment="1">
      <alignment horizontal="center"/>
    </xf>
    <xf numFmtId="0" fontId="0" fillId="0" borderId="10" xfId="0" applyBorder="1" applyAlignment="1">
      <alignment wrapText="1"/>
    </xf>
    <xf numFmtId="0" fontId="0" fillId="0" borderId="12" xfId="0" applyBorder="1"/>
    <xf numFmtId="0" fontId="0" fillId="0" borderId="32" xfId="0" applyBorder="1" applyAlignment="1">
      <alignment horizontal="center"/>
    </xf>
    <xf numFmtId="14" fontId="0" fillId="0" borderId="32" xfId="0" applyNumberFormat="1" applyBorder="1" applyAlignment="1">
      <alignment horizontal="center"/>
    </xf>
    <xf numFmtId="0" fontId="0" fillId="0" borderId="33" xfId="0" applyBorder="1" applyAlignment="1">
      <alignment horizontal="center" wrapText="1"/>
    </xf>
    <xf numFmtId="164" fontId="0" fillId="0" borderId="34" xfId="1" applyNumberFormat="1" applyFont="1" applyBorder="1" applyAlignment="1">
      <alignment horizontal="center"/>
    </xf>
    <xf numFmtId="164" fontId="0" fillId="0" borderId="35" xfId="1" applyNumberFormat="1" applyFont="1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14" fontId="5" fillId="4" borderId="4" xfId="0" applyNumberFormat="1" applyFont="1" applyFill="1" applyBorder="1" applyAlignment="1">
      <alignment horizontal="center" vertical="center"/>
    </xf>
    <xf numFmtId="14" fontId="5" fillId="5" borderId="4" xfId="0" applyNumberFormat="1" applyFont="1" applyFill="1" applyBorder="1" applyAlignment="1">
      <alignment horizontal="center" vertical="center"/>
    </xf>
    <xf numFmtId="2" fontId="0" fillId="5" borderId="4" xfId="0" applyNumberFormat="1" applyFill="1" applyBorder="1" applyAlignment="1">
      <alignment horizontal="center" vertical="center" wrapText="1"/>
    </xf>
    <xf numFmtId="164" fontId="0" fillId="4" borderId="4" xfId="0" applyNumberFormat="1" applyFill="1" applyBorder="1" applyAlignment="1">
      <alignment horizontal="center" vertical="center"/>
    </xf>
    <xf numFmtId="164" fontId="0" fillId="5" borderId="4" xfId="0" applyNumberForma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64" fontId="0" fillId="0" borderId="0" xfId="0" applyNumberFormat="1"/>
    <xf numFmtId="0" fontId="1" fillId="3" borderId="1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 wrapText="1"/>
    </xf>
    <xf numFmtId="0" fontId="1" fillId="0" borderId="28" xfId="0" applyFont="1" applyBorder="1" applyAlignment="1">
      <alignment horizontal="center" vertical="center" textRotation="90" readingOrder="1"/>
    </xf>
    <xf numFmtId="0" fontId="1" fillId="0" borderId="9" xfId="0" applyFont="1" applyBorder="1" applyAlignment="1">
      <alignment horizontal="center" vertical="center" textRotation="90" readingOrder="1"/>
    </xf>
    <xf numFmtId="0" fontId="1" fillId="0" borderId="15" xfId="0" applyFont="1" applyBorder="1" applyAlignment="1">
      <alignment horizontal="center" vertical="center" textRotation="90" readingOrder="1"/>
    </xf>
    <xf numFmtId="0" fontId="1" fillId="3" borderId="10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44" fontId="0" fillId="0" borderId="0" xfId="0" applyNumberFormat="1"/>
  </cellXfs>
  <cellStyles count="9">
    <cellStyle name="Milliers" xfId="1" builtinId="3"/>
    <cellStyle name="Milliers 2" xfId="4" xr:uid="{B9846204-6C62-4927-81E7-99FC5BEDB2DA}"/>
    <cellStyle name="Milliers 3" xfId="7" xr:uid="{9EF7544C-81D3-401A-B0B4-7C8B49A753F7}"/>
    <cellStyle name="Monétaire" xfId="2" builtinId="4"/>
    <cellStyle name="Monétaire 2" xfId="8" xr:uid="{143584EA-FF10-4FEC-9E4D-2B5A3C393ACA}"/>
    <cellStyle name="Normal" xfId="0" builtinId="0"/>
    <cellStyle name="Normal 3" xfId="3" xr:uid="{2662C083-AAF0-48B0-81A9-B3D4E15E29EF}"/>
    <cellStyle name="Normal 3 2" xfId="5" xr:uid="{524E673D-AAC1-4056-AC8D-F2FF59039F34}"/>
    <cellStyle name="Pourcentage 2 2" xfId="6" xr:uid="{82CF1F87-9E10-4E9B-BC13-33EAA269D358}"/>
  </cellStyles>
  <dxfs count="0"/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177800</xdr:colOff>
      <xdr:row>14</xdr:row>
      <xdr:rowOff>152399</xdr:rowOff>
    </xdr:from>
    <xdr:to>
      <xdr:col>2</xdr:col>
      <xdr:colOff>257174</xdr:colOff>
      <xdr:row>25</xdr:row>
      <xdr:rowOff>130260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FC873B64-9985-F6F5-68BB-DB4239D141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7800" y="2984499"/>
          <a:ext cx="4324349" cy="2003511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10</xdr:col>
      <xdr:colOff>831098</xdr:colOff>
      <xdr:row>42</xdr:row>
      <xdr:rowOff>69030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29BA31B8-0B18-5305-D9BC-88C06D71A4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98080" y="2819400"/>
          <a:ext cx="5982218" cy="518967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Ichiaka KONE" id="{5ECAD981-D878-4860-B22D-252DBD34D6CE}" userId="S::ikone@lpc040411.onmicrosoft.com::694664da-ba55-42b4-bfe3-51764e3acdc0" providerId="AD"/>
</personList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9" dT="2022-05-19T14:55:59.10" personId="{5ECAD981-D878-4860-B22D-252DBD34D6CE}" id="{608A678D-F669-49FB-912A-0E0E3E903D45}">
    <text>6 mois de franchise a compter de la prise d'effet seule les charges sont à payer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53716-0CEF-4925-BB16-587E35F9A5D0}">
  <dimension ref="A1:N14"/>
  <sheetViews>
    <sheetView showGridLines="0" tabSelected="1" topLeftCell="A5" workbookViewId="0">
      <selection activeCell="E14" sqref="E14"/>
    </sheetView>
  </sheetViews>
  <sheetFormatPr baseColWidth="10" defaultRowHeight="14.4" x14ac:dyDescent="0.3"/>
  <cols>
    <col min="1" max="1" width="34.77734375" bestFit="1" customWidth="1"/>
    <col min="2" max="2" width="25.88671875" bestFit="1" customWidth="1"/>
    <col min="3" max="5" width="16.21875" customWidth="1"/>
    <col min="6" max="6" width="12.44140625" customWidth="1"/>
    <col min="7" max="14" width="15.6640625" customWidth="1"/>
  </cols>
  <sheetData>
    <row r="1" spans="1:14" ht="31.05" customHeight="1" thickBot="1" x14ac:dyDescent="0.35">
      <c r="A1" s="60" t="s">
        <v>40</v>
      </c>
      <c r="B1" s="61"/>
    </row>
    <row r="2" spans="1:14" x14ac:dyDescent="0.3">
      <c r="A2" s="1" t="s">
        <v>0</v>
      </c>
      <c r="B2" s="51" t="s">
        <v>38</v>
      </c>
    </row>
    <row r="3" spans="1:14" x14ac:dyDescent="0.3">
      <c r="A3" s="17" t="s">
        <v>17</v>
      </c>
      <c r="B3" s="52">
        <v>396.34</v>
      </c>
    </row>
    <row r="4" spans="1:14" x14ac:dyDescent="0.3">
      <c r="A4" s="2" t="s">
        <v>1</v>
      </c>
      <c r="B4" s="53">
        <v>45211</v>
      </c>
    </row>
    <row r="5" spans="1:14" x14ac:dyDescent="0.3">
      <c r="A5" s="2" t="s">
        <v>18</v>
      </c>
      <c r="B5" s="54">
        <v>45292</v>
      </c>
    </row>
    <row r="6" spans="1:14" ht="15" thickBot="1" x14ac:dyDescent="0.35">
      <c r="A6" s="2" t="s">
        <v>39</v>
      </c>
      <c r="B6" s="55">
        <v>8</v>
      </c>
      <c r="C6">
        <v>1</v>
      </c>
      <c r="D6">
        <v>2</v>
      </c>
      <c r="E6">
        <v>3</v>
      </c>
      <c r="F6">
        <v>4</v>
      </c>
      <c r="G6">
        <v>5</v>
      </c>
      <c r="H6">
        <v>6</v>
      </c>
      <c r="I6">
        <v>7</v>
      </c>
      <c r="J6">
        <v>8</v>
      </c>
      <c r="K6">
        <v>9</v>
      </c>
      <c r="L6">
        <v>10</v>
      </c>
    </row>
    <row r="7" spans="1:14" s="19" customFormat="1" ht="15" thickBot="1" x14ac:dyDescent="0.35">
      <c r="A7" s="20" t="s">
        <v>2</v>
      </c>
      <c r="B7" s="55">
        <v>10</v>
      </c>
      <c r="C7" s="47">
        <v>2024</v>
      </c>
      <c r="D7" s="47">
        <v>2025</v>
      </c>
      <c r="E7" s="47">
        <v>2026</v>
      </c>
      <c r="F7" s="47">
        <v>2027</v>
      </c>
      <c r="G7" s="47">
        <v>2028</v>
      </c>
      <c r="H7" s="47">
        <v>2029</v>
      </c>
      <c r="I7" s="47">
        <v>2030</v>
      </c>
      <c r="J7" s="47">
        <v>2031</v>
      </c>
      <c r="K7" s="47">
        <v>2032</v>
      </c>
      <c r="L7" s="47">
        <v>2033</v>
      </c>
      <c r="M7"/>
      <c r="N7"/>
    </row>
    <row r="8" spans="1:14" x14ac:dyDescent="0.3">
      <c r="A8" s="2" t="s">
        <v>19</v>
      </c>
      <c r="B8" s="56">
        <f>+B9/4</f>
        <v>20000</v>
      </c>
      <c r="C8" s="48">
        <f>+B8</f>
        <v>20000</v>
      </c>
      <c r="D8" s="25">
        <f>+C8*D10/C10</f>
        <v>20606.015262606616</v>
      </c>
      <c r="E8" s="25">
        <f t="shared" ref="E8:K8" si="0">+D8*E10/D10</f>
        <v>20513.242555738441</v>
      </c>
      <c r="F8" s="25">
        <f t="shared" si="0"/>
        <v>20513.242555738441</v>
      </c>
      <c r="G8" s="25">
        <f t="shared" si="0"/>
        <v>149.63339817447255</v>
      </c>
      <c r="H8" s="25">
        <f t="shared" si="0"/>
        <v>299.26679634894509</v>
      </c>
      <c r="I8" s="25">
        <f t="shared" si="0"/>
        <v>448.90019452341767</v>
      </c>
      <c r="J8" s="25">
        <f t="shared" si="0"/>
        <v>598.53359269789019</v>
      </c>
      <c r="K8" s="25">
        <f t="shared" si="0"/>
        <v>748.1669908723627</v>
      </c>
      <c r="L8" s="26">
        <f t="shared" ref="L8" si="1">+K8*L10/K10</f>
        <v>897.80038904683533</v>
      </c>
    </row>
    <row r="9" spans="1:14" x14ac:dyDescent="0.3">
      <c r="A9" s="2" t="s">
        <v>15</v>
      </c>
      <c r="B9" s="57">
        <v>80000</v>
      </c>
      <c r="C9" s="49">
        <f>+B9-C11</f>
        <v>80000</v>
      </c>
      <c r="D9" s="22">
        <f>+C9*D10/C10-D11</f>
        <v>82424.061050426462</v>
      </c>
      <c r="E9" s="22">
        <f>+D9*E10/D10-E11</f>
        <v>82052.970222953765</v>
      </c>
      <c r="F9" s="22">
        <f t="shared" ref="F9:L9" si="2">+E9*F10/E10</f>
        <v>82052.970222953765</v>
      </c>
      <c r="G9" s="22">
        <f t="shared" si="2"/>
        <v>598.53359269789019</v>
      </c>
      <c r="H9" s="22">
        <f t="shared" si="2"/>
        <v>1197.0671853957804</v>
      </c>
      <c r="I9" s="22">
        <f t="shared" si="2"/>
        <v>1795.6007780936707</v>
      </c>
      <c r="J9" s="22">
        <f t="shared" si="2"/>
        <v>2394.1343707915607</v>
      </c>
      <c r="K9" s="22">
        <f t="shared" si="2"/>
        <v>2992.6679634894508</v>
      </c>
      <c r="L9" s="23">
        <f t="shared" si="2"/>
        <v>3591.2015561873413</v>
      </c>
    </row>
    <row r="10" spans="1:14" ht="15" thickBot="1" x14ac:dyDescent="0.35">
      <c r="A10" s="7" t="s">
        <v>21</v>
      </c>
      <c r="B10" s="58">
        <v>133.66</v>
      </c>
      <c r="C10" s="50">
        <v>133.66</v>
      </c>
      <c r="D10" s="27">
        <v>137.71</v>
      </c>
      <c r="E10" s="27">
        <v>137.09</v>
      </c>
      <c r="F10" s="27">
        <f t="shared" ref="F10" si="3">+E10</f>
        <v>137.09</v>
      </c>
      <c r="G10" s="27">
        <v>1</v>
      </c>
      <c r="H10" s="27">
        <v>2</v>
      </c>
      <c r="I10" s="27">
        <v>3</v>
      </c>
      <c r="J10" s="27">
        <v>4</v>
      </c>
      <c r="K10" s="27">
        <v>5</v>
      </c>
      <c r="L10" s="28">
        <v>6</v>
      </c>
    </row>
    <row r="11" spans="1:14" ht="15" thickBot="1" x14ac:dyDescent="0.35">
      <c r="A11" s="2" t="s">
        <v>20</v>
      </c>
      <c r="B11" s="24"/>
      <c r="C11" s="29">
        <v>0</v>
      </c>
      <c r="D11" s="30">
        <v>0</v>
      </c>
      <c r="E11" s="30">
        <v>0</v>
      </c>
      <c r="F11" s="30">
        <v>0</v>
      </c>
      <c r="G11" s="30"/>
      <c r="H11" s="30"/>
      <c r="I11" s="30"/>
      <c r="J11" s="30"/>
      <c r="K11" s="30"/>
      <c r="L11" s="31"/>
    </row>
    <row r="12" spans="1:14" ht="15" thickBot="1" x14ac:dyDescent="0.35">
      <c r="A12" s="18" t="s">
        <v>16</v>
      </c>
      <c r="B12" s="16">
        <f>+B9/4</f>
        <v>20000</v>
      </c>
      <c r="C12" s="21">
        <f>+C9/4</f>
        <v>20000</v>
      </c>
      <c r="D12" s="21">
        <f t="shared" ref="D12:K12" si="4">+D9/4</f>
        <v>20606.015262606616</v>
      </c>
      <c r="E12" s="21">
        <f t="shared" si="4"/>
        <v>20513.242555738441</v>
      </c>
      <c r="F12" s="21">
        <f t="shared" si="4"/>
        <v>20513.242555738441</v>
      </c>
      <c r="G12" s="21">
        <f t="shared" si="4"/>
        <v>149.63339817447255</v>
      </c>
      <c r="H12" s="21">
        <f t="shared" si="4"/>
        <v>299.26679634894509</v>
      </c>
      <c r="I12" s="21">
        <f t="shared" si="4"/>
        <v>448.90019452341767</v>
      </c>
      <c r="J12" s="21">
        <f t="shared" si="4"/>
        <v>598.53359269789019</v>
      </c>
      <c r="K12" s="21">
        <f t="shared" si="4"/>
        <v>748.1669908723627</v>
      </c>
      <c r="L12" s="21">
        <f t="shared" ref="L12" si="5">+L9/4</f>
        <v>897.80038904683533</v>
      </c>
    </row>
    <row r="13" spans="1:14" ht="15" thickBot="1" x14ac:dyDescent="0.35">
      <c r="E13" s="67">
        <f>+E12-D12</f>
        <v>-92.772706868174282</v>
      </c>
    </row>
    <row r="14" spans="1:14" ht="15" thickBot="1" x14ac:dyDescent="0.35">
      <c r="A14" s="32" t="s">
        <v>22</v>
      </c>
      <c r="B14" s="33">
        <f>400*12</f>
        <v>4800</v>
      </c>
      <c r="D14" s="59"/>
    </row>
  </sheetData>
  <mergeCells count="1">
    <mergeCell ref="A1:B1"/>
  </mergeCells>
  <phoneticPr fontId="6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47F4C-2C74-4FA9-A3EE-7CD14B3A6A87}">
  <dimension ref="B2:D15"/>
  <sheetViews>
    <sheetView workbookViewId="0">
      <selection activeCell="C21" sqref="C21"/>
    </sheetView>
  </sheetViews>
  <sheetFormatPr baseColWidth="10" defaultRowHeight="14.4" x14ac:dyDescent="0.3"/>
  <cols>
    <col min="2" max="2" width="4.77734375" bestFit="1" customWidth="1"/>
    <col min="3" max="3" width="29.77734375" bestFit="1" customWidth="1"/>
    <col min="4" max="4" width="51.77734375" bestFit="1" customWidth="1"/>
  </cols>
  <sheetData>
    <row r="2" spans="2:4" ht="15" thickBot="1" x14ac:dyDescent="0.35"/>
    <row r="3" spans="2:4" ht="15" thickBot="1" x14ac:dyDescent="0.35">
      <c r="C3" s="34" t="s">
        <v>24</v>
      </c>
      <c r="D3" s="35"/>
    </row>
    <row r="4" spans="2:4" ht="15" thickBot="1" x14ac:dyDescent="0.35">
      <c r="C4" s="36" t="s">
        <v>25</v>
      </c>
      <c r="D4" s="35"/>
    </row>
    <row r="5" spans="2:4" x14ac:dyDescent="0.3">
      <c r="B5" s="62" t="s">
        <v>26</v>
      </c>
      <c r="C5" s="37" t="s">
        <v>27</v>
      </c>
      <c r="D5" s="38"/>
    </row>
    <row r="6" spans="2:4" x14ac:dyDescent="0.3">
      <c r="B6" s="63"/>
      <c r="C6" s="39" t="s">
        <v>28</v>
      </c>
      <c r="D6" s="40"/>
    </row>
    <row r="7" spans="2:4" x14ac:dyDescent="0.3">
      <c r="B7" s="63"/>
      <c r="C7" s="39" t="s">
        <v>29</v>
      </c>
      <c r="D7" s="40"/>
    </row>
    <row r="8" spans="2:4" x14ac:dyDescent="0.3">
      <c r="B8" s="63"/>
      <c r="C8" s="39" t="s">
        <v>30</v>
      </c>
      <c r="D8" s="40"/>
    </row>
    <row r="9" spans="2:4" ht="15" thickBot="1" x14ac:dyDescent="0.35">
      <c r="B9" s="64"/>
      <c r="C9" s="41" t="s">
        <v>31</v>
      </c>
      <c r="D9" s="42"/>
    </row>
    <row r="10" spans="2:4" ht="38.549999999999997" customHeight="1" thickBot="1" x14ac:dyDescent="0.35">
      <c r="C10" s="43" t="s">
        <v>32</v>
      </c>
      <c r="D10" s="35"/>
    </row>
    <row r="11" spans="2:4" ht="15" thickBot="1" x14ac:dyDescent="0.35">
      <c r="C11" s="44" t="s">
        <v>33</v>
      </c>
      <c r="D11" s="45"/>
    </row>
    <row r="12" spans="2:4" ht="15" thickBot="1" x14ac:dyDescent="0.35">
      <c r="C12" s="44" t="s">
        <v>34</v>
      </c>
      <c r="D12" s="45"/>
    </row>
    <row r="13" spans="2:4" ht="15" thickBot="1" x14ac:dyDescent="0.35">
      <c r="C13" s="44" t="s">
        <v>35</v>
      </c>
      <c r="D13" s="46"/>
    </row>
    <row r="14" spans="2:4" ht="15" thickBot="1" x14ac:dyDescent="0.35">
      <c r="C14" s="44" t="s">
        <v>36</v>
      </c>
      <c r="D14" s="45"/>
    </row>
    <row r="15" spans="2:4" ht="15" thickBot="1" x14ac:dyDescent="0.35">
      <c r="C15" s="44" t="s">
        <v>37</v>
      </c>
      <c r="D15" s="35"/>
    </row>
  </sheetData>
  <mergeCells count="1">
    <mergeCell ref="B5:B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3AE24-8CD8-444B-ADA0-BE7D99CFE145}">
  <dimension ref="A1:L9"/>
  <sheetViews>
    <sheetView workbookViewId="0">
      <selection sqref="A1:B1"/>
    </sheetView>
  </sheetViews>
  <sheetFormatPr baseColWidth="10" defaultRowHeight="14.4" x14ac:dyDescent="0.3"/>
  <cols>
    <col min="1" max="1" width="27.5546875" bestFit="1" customWidth="1"/>
    <col min="2" max="2" width="13.77734375" customWidth="1"/>
    <col min="4" max="4" width="13.5546875" customWidth="1"/>
    <col min="5" max="5" width="13.77734375" customWidth="1"/>
    <col min="6" max="6" width="13.5546875" customWidth="1"/>
    <col min="7" max="7" width="14" customWidth="1"/>
  </cols>
  <sheetData>
    <row r="1" spans="1:12" ht="15" thickBot="1" x14ac:dyDescent="0.35">
      <c r="A1" s="65" t="s">
        <v>23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</row>
    <row r="2" spans="1:12" x14ac:dyDescent="0.3">
      <c r="A2" s="1" t="s">
        <v>3</v>
      </c>
      <c r="B2" s="5" t="s">
        <v>4</v>
      </c>
      <c r="C2" s="14">
        <v>43941</v>
      </c>
      <c r="D2" s="5">
        <v>2021</v>
      </c>
      <c r="E2" s="6">
        <v>2022</v>
      </c>
      <c r="F2" s="5">
        <v>2023</v>
      </c>
      <c r="G2" s="6">
        <v>2024</v>
      </c>
      <c r="H2" s="5">
        <v>2025</v>
      </c>
      <c r="I2" s="6">
        <v>2026</v>
      </c>
      <c r="J2" s="5">
        <v>2027</v>
      </c>
      <c r="K2" s="6">
        <v>2028</v>
      </c>
      <c r="L2" s="14">
        <v>47227</v>
      </c>
    </row>
    <row r="3" spans="1:12" x14ac:dyDescent="0.3">
      <c r="A3" s="7" t="s">
        <v>5</v>
      </c>
      <c r="B3" s="8" t="s">
        <v>14</v>
      </c>
      <c r="C3" s="9"/>
      <c r="D3" s="3"/>
      <c r="E3" s="8"/>
      <c r="F3" s="8"/>
      <c r="G3" s="8"/>
      <c r="H3" s="8"/>
      <c r="I3" s="8"/>
      <c r="J3" s="8"/>
      <c r="K3" s="8"/>
      <c r="L3" s="8"/>
    </row>
    <row r="4" spans="1:12" x14ac:dyDescent="0.3">
      <c r="A4" s="2" t="s">
        <v>6</v>
      </c>
      <c r="B4" s="8" t="s">
        <v>14</v>
      </c>
      <c r="C4" s="8"/>
      <c r="D4" s="3"/>
      <c r="E4" s="8"/>
      <c r="F4" s="8"/>
      <c r="G4" s="8"/>
      <c r="H4" s="8"/>
      <c r="I4" s="8"/>
      <c r="J4" s="8"/>
      <c r="K4" s="8"/>
      <c r="L4" s="8"/>
    </row>
    <row r="5" spans="1:12" x14ac:dyDescent="0.3">
      <c r="A5" s="2" t="s">
        <v>7</v>
      </c>
      <c r="B5" s="8"/>
      <c r="C5" s="10"/>
      <c r="D5" s="8"/>
      <c r="E5" s="8"/>
      <c r="F5" s="8"/>
      <c r="G5" s="8"/>
      <c r="H5" s="8"/>
      <c r="I5" s="8"/>
      <c r="J5" s="8"/>
      <c r="K5" s="8"/>
      <c r="L5" s="8"/>
    </row>
    <row r="6" spans="1:12" ht="15" thickBot="1" x14ac:dyDescent="0.35">
      <c r="A6" s="4" t="s">
        <v>8</v>
      </c>
      <c r="B6" s="11"/>
      <c r="C6" s="11"/>
      <c r="D6" s="12"/>
      <c r="E6" s="11"/>
      <c r="F6" s="11"/>
      <c r="G6" s="11"/>
      <c r="H6" s="11"/>
      <c r="I6" s="11"/>
      <c r="J6" s="11"/>
      <c r="K6" s="11"/>
      <c r="L6" s="11"/>
    </row>
    <row r="9" spans="1:12" x14ac:dyDescent="0.3">
      <c r="D9" s="15"/>
    </row>
  </sheetData>
  <mergeCells count="1">
    <mergeCell ref="A1:L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638B2-DB7A-4177-8D9E-228E1C45B800}">
  <dimension ref="A1:L6"/>
  <sheetViews>
    <sheetView workbookViewId="0">
      <selection sqref="A1:B1"/>
    </sheetView>
  </sheetViews>
  <sheetFormatPr baseColWidth="10" defaultRowHeight="14.4" x14ac:dyDescent="0.3"/>
  <cols>
    <col min="1" max="1" width="32.21875" bestFit="1" customWidth="1"/>
  </cols>
  <sheetData>
    <row r="1" spans="1:12" ht="15" thickBot="1" x14ac:dyDescent="0.35">
      <c r="A1" s="65" t="s">
        <v>23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</row>
    <row r="2" spans="1:12" x14ac:dyDescent="0.3">
      <c r="A2" s="1" t="s">
        <v>9</v>
      </c>
      <c r="B2" s="5" t="s">
        <v>4</v>
      </c>
      <c r="C2" s="14">
        <v>43941</v>
      </c>
      <c r="D2" s="5">
        <v>2021</v>
      </c>
      <c r="E2" s="6">
        <v>2022</v>
      </c>
      <c r="F2" s="5">
        <v>2023</v>
      </c>
      <c r="G2" s="6">
        <v>2024</v>
      </c>
      <c r="H2" s="5">
        <v>2025</v>
      </c>
      <c r="I2" s="6">
        <v>2026</v>
      </c>
      <c r="J2" s="5">
        <v>2027</v>
      </c>
      <c r="K2" s="6">
        <v>2028</v>
      </c>
      <c r="L2" s="14">
        <v>47227</v>
      </c>
    </row>
    <row r="3" spans="1:12" x14ac:dyDescent="0.3">
      <c r="A3" s="2" t="s">
        <v>10</v>
      </c>
      <c r="B3" s="8" t="s">
        <v>14</v>
      </c>
      <c r="C3" s="9"/>
      <c r="D3" s="3"/>
      <c r="E3" s="8"/>
      <c r="F3" s="8"/>
      <c r="G3" s="8"/>
      <c r="H3" s="8"/>
      <c r="I3" s="8"/>
      <c r="J3" s="8"/>
      <c r="K3" s="8"/>
      <c r="L3" s="8"/>
    </row>
    <row r="4" spans="1:12" x14ac:dyDescent="0.3">
      <c r="A4" s="2" t="s">
        <v>11</v>
      </c>
      <c r="B4" s="8" t="s">
        <v>14</v>
      </c>
      <c r="C4" s="8"/>
      <c r="D4" s="3"/>
      <c r="E4" s="8"/>
      <c r="F4" s="8"/>
      <c r="G4" s="8"/>
      <c r="H4" s="8"/>
      <c r="I4" s="8"/>
      <c r="J4" s="8"/>
      <c r="K4" s="8"/>
      <c r="L4" s="8"/>
    </row>
    <row r="5" spans="1:12" x14ac:dyDescent="0.3">
      <c r="A5" s="2" t="s">
        <v>12</v>
      </c>
      <c r="B5" s="8" t="s">
        <v>14</v>
      </c>
      <c r="C5" s="10"/>
      <c r="D5" s="13"/>
      <c r="E5" s="8"/>
      <c r="F5" s="8"/>
      <c r="G5" s="8"/>
      <c r="H5" s="8"/>
      <c r="I5" s="8"/>
      <c r="J5" s="8"/>
      <c r="K5" s="8"/>
      <c r="L5" s="8"/>
    </row>
    <row r="6" spans="1:12" ht="15" thickBot="1" x14ac:dyDescent="0.35">
      <c r="A6" s="4" t="s">
        <v>13</v>
      </c>
      <c r="B6" s="11"/>
      <c r="C6" s="11"/>
      <c r="D6" s="12"/>
      <c r="E6" s="11"/>
      <c r="F6" s="11"/>
      <c r="G6" s="11"/>
      <c r="H6" s="11"/>
      <c r="I6" s="11"/>
      <c r="J6" s="11"/>
      <c r="K6" s="11"/>
      <c r="L6" s="11"/>
    </row>
  </sheetData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BAIL</vt:lpstr>
      <vt:lpstr>INFOS POUR 6660-REV</vt:lpstr>
      <vt:lpstr>CHARGES</vt:lpstr>
      <vt:lpstr>TAXES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Sabine CHARBEL</dc:creator>
  <cp:lastModifiedBy>Ichiaka KONE</cp:lastModifiedBy>
  <dcterms:created xsi:type="dcterms:W3CDTF">2019-06-13T13:19:30Z</dcterms:created>
  <dcterms:modified xsi:type="dcterms:W3CDTF">2026-01-20T07:17:14Z</dcterms:modified>
</cp:coreProperties>
</file>