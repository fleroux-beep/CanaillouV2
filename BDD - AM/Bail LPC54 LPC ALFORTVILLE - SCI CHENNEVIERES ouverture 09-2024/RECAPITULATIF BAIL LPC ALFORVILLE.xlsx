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54 LPC ALFORTVILLE - SCI CHENNEVIERES ouverture 09-2024\"/>
    </mc:Choice>
  </mc:AlternateContent>
  <xr:revisionPtr revIDLastSave="0" documentId="13_ncr:1_{3CCD9DC0-6397-480D-B48F-9612A6904D0C}" xr6:coauthVersionLast="47" xr6:coauthVersionMax="47" xr10:uidLastSave="{00000000-0000-0000-0000-000000000000}"/>
  <bookViews>
    <workbookView xWindow="28680" yWindow="-120" windowWidth="29040" windowHeight="15720" xr2:uid="{2BC2E6E9-C79E-4F52-80EC-D2476AE53E0B}"/>
  </bookViews>
  <sheets>
    <sheet name="BAIL" sheetId="1" r:id="rId1"/>
    <sheet name="INFOS POUR 6660-REV" sheetId="4" r:id="rId2"/>
    <sheet name="CHARGES" sheetId="2" state="hidden" r:id="rId3"/>
    <sheet name="TAXES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1" l="1"/>
  <c r="C10" i="1"/>
  <c r="B8" i="1"/>
  <c r="C9" i="1" l="1"/>
  <c r="C12" i="1" s="1"/>
  <c r="C8" i="1" l="1"/>
  <c r="B12" i="1"/>
  <c r="D9" i="1"/>
  <c r="E9" i="1" s="1"/>
  <c r="D8" i="1" l="1"/>
  <c r="E8" i="1" l="1"/>
  <c r="F8" i="1" s="1"/>
  <c r="G8" i="1" s="1"/>
  <c r="H8" i="1" s="1"/>
  <c r="I8" i="1" s="1"/>
  <c r="J8" i="1" s="1"/>
  <c r="K8" i="1" s="1"/>
  <c r="L8" i="1" s="1"/>
  <c r="D5" i="1"/>
  <c r="D12" i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  <c r="L9" i="1"/>
  <c r="L12" i="1" s="1"/>
</calcChain>
</file>

<file path=xl/sharedStrings.xml><?xml version="1.0" encoding="utf-8"?>
<sst xmlns="http://schemas.openxmlformats.org/spreadsheetml/2006/main" count="58" uniqueCount="52">
  <si>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</si>
  <si>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</si>
  <si>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</si>
  <si>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</si>
  <si>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</si>
  <si>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</si>
  <si>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</si>
  <si>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</si>
  <si>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</si>
  <si>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</si>
  <si>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</si>
  <si>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</si>
  <si>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</si>
  <si>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</si>
  <si>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</si>
  <si>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</si>
  <si>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</si>
  <si>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</si>
  <si>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</si>
  <si>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</si>
  <si>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</si>
  <si>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charges 12 mois</t>
  </si>
  <si>
    <t>LPC 47 NICE</t>
  </si>
  <si>
    <t>OCCUPANT</t>
  </si>
  <si>
    <t>ADRESSE BIEN</t>
  </si>
  <si>
    <t>PROPRIETAIRE</t>
  </si>
  <si>
    <t>NOM</t>
  </si>
  <si>
    <t xml:space="preserve">ADRESSE </t>
  </si>
  <si>
    <t>CODE POSTALE</t>
  </si>
  <si>
    <t>VILLE</t>
  </si>
  <si>
    <t xml:space="preserve">DATE D'ACQUISITION </t>
  </si>
  <si>
    <t>AFFECTATION LOCAUX AVANT OUVERTURE CRECHE</t>
  </si>
  <si>
    <t>PLAN</t>
  </si>
  <si>
    <t>SURFACE LOCATIVE EXTERIEURE</t>
  </si>
  <si>
    <t>DATE OUVERTURE CRECHE</t>
  </si>
  <si>
    <t>DAACT (dossier mise à dispo)</t>
  </si>
  <si>
    <t>DOSSIER PC (dossier mise à dispo)</t>
  </si>
  <si>
    <t>FRANCHISE  mois</t>
  </si>
  <si>
    <t>SCI CHENNEVIERES BRIAND</t>
  </si>
  <si>
    <t>Locaux se situant dans un ensemble immobiliers mixte dénommé « DELTA – bâtiment DANUBE » comprenant un local commercial. surface totale de 311,40m² SUBL + 86,10m² de jardin à usage exclusif et quatre emplacements de parking.</t>
  </si>
  <si>
    <t>LPC ALFORVILLE                                                                                                                     105 Rue Etienne Dolet – 94140 ALFORTVILLE</t>
  </si>
  <si>
    <t>01/01/2024-31/12/2024</t>
  </si>
  <si>
    <t>01/01/2025-31/12/2025</t>
  </si>
  <si>
    <t>01/01/2026-31/12/2026</t>
  </si>
  <si>
    <t>01/01/2027-31/12/2027</t>
  </si>
  <si>
    <t>01/01/2028-31/12/2028</t>
  </si>
  <si>
    <t>01/01/2029-31/12/2029</t>
  </si>
  <si>
    <t>01/01/2030-31/12/2030</t>
  </si>
  <si>
    <t>01/01/2031-31/12/2031</t>
  </si>
  <si>
    <t>01/01/2032-31/12/2032</t>
  </si>
  <si>
    <t>01/01/2033-31/12/2033</t>
  </si>
  <si>
    <t>INDICE (INDEXATION DU LOYER) ILC 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</si>
</sst>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0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/>
    </xf>
    <xf numFmtId="164" fontId="0" fillId="0" borderId="25" xfId="1" applyNumberFormat="1" applyFon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0" fontId="0" fillId="0" borderId="27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44" fontId="0" fillId="0" borderId="27" xfId="2" applyFont="1" applyBorder="1"/>
    <xf numFmtId="44" fontId="0" fillId="0" borderId="28" xfId="2" applyFont="1" applyBorder="1"/>
    <xf numFmtId="44" fontId="0" fillId="0" borderId="29" xfId="2" applyFont="1" applyBorder="1"/>
    <xf numFmtId="0" fontId="2" fillId="2" borderId="31" xfId="0" applyFont="1" applyFill="1" applyBorder="1"/>
    <xf numFmtId="0" fontId="0" fillId="4" borderId="21" xfId="0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6" fontId="0" fillId="4" borderId="12" xfId="0" applyNumberFormat="1" applyFill="1" applyBorder="1"/>
    <xf numFmtId="14" fontId="5" fillId="5" borderId="8" xfId="0" applyNumberFormat="1" applyFont="1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0" fontId="0" fillId="0" borderId="32" xfId="0" applyBorder="1"/>
    <xf numFmtId="0" fontId="0" fillId="0" borderId="12" xfId="0" applyBorder="1" applyAlignment="1">
      <alignment horizontal="center"/>
    </xf>
    <xf numFmtId="0" fontId="0" fillId="0" borderId="31" xfId="0" applyBorder="1"/>
    <xf numFmtId="0" fontId="0" fillId="0" borderId="34" xfId="0" applyBorder="1"/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4" xfId="0" applyBorder="1" applyAlignment="1">
      <alignment horizontal="center"/>
    </xf>
    <xf numFmtId="0" fontId="0" fillId="0" borderId="36" xfId="0" applyBorder="1"/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37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2" fontId="5" fillId="5" borderId="8" xfId="0" applyNumberFormat="1" applyFont="1" applyFill="1" applyBorder="1" applyAlignment="1">
      <alignment horizontal="center" vertical="center"/>
    </xf>
    <xf numFmtId="2" fontId="0" fillId="5" borderId="22" xfId="0" applyNumberFormat="1" applyFill="1" applyBorder="1" applyAlignment="1">
      <alignment horizontal="center" vertical="center" wrapText="1"/>
    </xf>
    <xf numFmtId="164" fontId="0" fillId="0" borderId="0" xfId="0" applyNumberFormat="1"/>
    <xf numFmtId="44" fontId="0" fillId="0" borderId="0" xfId="0" applyNumberFormat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33" xfId="0" applyFont="1" applyBorder="1" applyAlignment="1">
      <alignment horizontal="center" vertical="center" textRotation="90" readingOrder="1"/>
    </xf>
    <xf numFmtId="0" fontId="1" fillId="0" borderId="9" xfId="0" applyFont="1" applyBorder="1" applyAlignment="1">
      <alignment horizontal="center" vertical="center" textRotation="90" readingOrder="1"/>
    </xf>
    <xf numFmtId="0" fontId="1" fillId="0" borderId="15" xfId="0" applyFont="1" applyBorder="1" applyAlignment="1">
      <alignment horizontal="center" vertical="center" textRotation="90" readingOrder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2</xdr:col>
      <xdr:colOff>326158</xdr:colOff>
      <xdr:row>41</xdr:row>
      <xdr:rowOff>84188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B4121C-E79B-DC19-9B46-C5F6DF21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6175"/>
          <a:ext cx="4656223" cy="4244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L14"/>
  <sheetViews>
    <sheetView showGridLines="0" tabSelected="1" workbookViewId="0">
      <selection activeCell="E11" sqref="E11"/>
    </sheetView>
  </sheetViews>
  <sheetFormatPr baseColWidth="10" defaultRowHeight="14.4" x14ac:dyDescent="0.3"/>
  <cols>
    <col min="1" max="1" width="34.77734375" bestFit="1" customWidth="1"/>
    <col min="2" max="2" width="28.44140625" customWidth="1"/>
    <col min="3" max="3" width="21.109375" customWidth="1"/>
    <col min="4" max="12" width="20.77734375" bestFit="1" customWidth="1"/>
    <col min="13" max="14" width="15.6640625" customWidth="1"/>
  </cols>
  <sheetData>
    <row r="1" spans="1:12" ht="28.95" customHeight="1" thickBot="1" x14ac:dyDescent="0.35">
      <c r="A1" s="61" t="s">
        <v>40</v>
      </c>
      <c r="B1" s="62"/>
      <c r="C1" s="63" t="s">
        <v>39</v>
      </c>
      <c r="D1" s="64"/>
      <c r="E1" s="64"/>
      <c r="F1" s="64"/>
    </row>
    <row r="2" spans="1:12" x14ac:dyDescent="0.3">
      <c r="A2" s="1" t="s">
        <v>0</v>
      </c>
      <c r="B2" s="26" t="s">
        <v>38</v>
      </c>
      <c r="C2" s="63"/>
      <c r="D2" s="64"/>
      <c r="E2" s="64"/>
      <c r="F2" s="64"/>
    </row>
    <row r="3" spans="1:12" x14ac:dyDescent="0.3">
      <c r="A3" s="17" t="s">
        <v>17</v>
      </c>
      <c r="B3" s="38">
        <v>311.39999999999998</v>
      </c>
      <c r="C3" s="63"/>
      <c r="D3" s="64"/>
      <c r="E3" s="64"/>
      <c r="F3" s="64"/>
    </row>
    <row r="4" spans="1:12" x14ac:dyDescent="0.3">
      <c r="A4" s="2" t="s">
        <v>1</v>
      </c>
      <c r="B4" s="39">
        <v>45246</v>
      </c>
    </row>
    <row r="5" spans="1:12" x14ac:dyDescent="0.3">
      <c r="A5" s="2" t="s">
        <v>18</v>
      </c>
      <c r="B5" s="42">
        <v>45292</v>
      </c>
      <c r="D5" s="59">
        <f>+D8-C8</f>
        <v>652.22392638036763</v>
      </c>
    </row>
    <row r="6" spans="1:12" ht="15" thickBot="1" x14ac:dyDescent="0.35">
      <c r="A6" s="2" t="s">
        <v>37</v>
      </c>
      <c r="B6" s="57">
        <v>8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1:12" s="19" customFormat="1" ht="29.4" thickBot="1" x14ac:dyDescent="0.35">
      <c r="A7" s="20" t="s">
        <v>2</v>
      </c>
      <c r="B7" s="58">
        <v>10</v>
      </c>
      <c r="C7" s="31" t="s">
        <v>41</v>
      </c>
      <c r="D7" s="31" t="s">
        <v>42</v>
      </c>
      <c r="E7" s="31" t="s">
        <v>43</v>
      </c>
      <c r="F7" s="31" t="s">
        <v>44</v>
      </c>
      <c r="G7" s="31" t="s">
        <v>45</v>
      </c>
      <c r="H7" s="31" t="s">
        <v>46</v>
      </c>
      <c r="I7" s="31" t="s">
        <v>47</v>
      </c>
      <c r="J7" s="31" t="s">
        <v>48</v>
      </c>
      <c r="K7" s="31" t="s">
        <v>49</v>
      </c>
      <c r="L7" s="31" t="s">
        <v>50</v>
      </c>
    </row>
    <row r="8" spans="1:12" x14ac:dyDescent="0.3">
      <c r="A8" s="2" t="s">
        <v>19</v>
      </c>
      <c r="B8" s="40">
        <f>+B9/4</f>
        <v>21525</v>
      </c>
      <c r="C8" s="28">
        <f>+B8</f>
        <v>21525</v>
      </c>
      <c r="D8" s="29">
        <f>+C8*D10/C10</f>
        <v>22177.223926380368</v>
      </c>
      <c r="E8" s="29">
        <f t="shared" ref="E8:K8" si="0">+D8*E10/D10</f>
        <v>22077.377300613494</v>
      </c>
      <c r="F8" s="29">
        <f t="shared" si="0"/>
        <v>161.04294478527606</v>
      </c>
      <c r="G8" s="29">
        <f t="shared" si="0"/>
        <v>161.04294478527606</v>
      </c>
      <c r="H8" s="29">
        <f t="shared" si="0"/>
        <v>161.04294478527606</v>
      </c>
      <c r="I8" s="29">
        <f t="shared" si="0"/>
        <v>161.04294478527606</v>
      </c>
      <c r="J8" s="29">
        <f t="shared" si="0"/>
        <v>161.04294478527606</v>
      </c>
      <c r="K8" s="29">
        <f t="shared" si="0"/>
        <v>161.04294478527606</v>
      </c>
      <c r="L8" s="30">
        <f t="shared" ref="L8" si="1">+K8*L10/K10</f>
        <v>161.04294478527606</v>
      </c>
    </row>
    <row r="9" spans="1:12" x14ac:dyDescent="0.3">
      <c r="A9" s="2" t="s">
        <v>15</v>
      </c>
      <c r="B9" s="43">
        <v>86100</v>
      </c>
      <c r="C9" s="23">
        <f>+B9-C11</f>
        <v>86100</v>
      </c>
      <c r="D9" s="22">
        <f>+C9*D10/C10-D11</f>
        <v>88708.895705521471</v>
      </c>
      <c r="E9" s="22">
        <f>+D9*E10/D10-E11</f>
        <v>88309.509202453977</v>
      </c>
      <c r="F9" s="22">
        <f t="shared" ref="F9:L9" si="2">+E9*F10/E10</f>
        <v>644.17177914110425</v>
      </c>
      <c r="G9" s="22">
        <f t="shared" si="2"/>
        <v>644.17177914110425</v>
      </c>
      <c r="H9" s="22">
        <f t="shared" si="2"/>
        <v>644.17177914110425</v>
      </c>
      <c r="I9" s="22">
        <f t="shared" si="2"/>
        <v>644.17177914110425</v>
      </c>
      <c r="J9" s="22">
        <f t="shared" si="2"/>
        <v>644.17177914110425</v>
      </c>
      <c r="K9" s="22">
        <f t="shared" si="2"/>
        <v>644.17177914110425</v>
      </c>
      <c r="L9" s="24">
        <f t="shared" si="2"/>
        <v>644.17177914110425</v>
      </c>
    </row>
    <row r="10" spans="1:12" ht="15" thickBot="1" x14ac:dyDescent="0.35">
      <c r="A10" s="7" t="s">
        <v>51</v>
      </c>
      <c r="B10" s="27">
        <v>133.66</v>
      </c>
      <c r="C10" s="32">
        <f>+B10</f>
        <v>133.66</v>
      </c>
      <c r="D10" s="33">
        <v>137.71</v>
      </c>
      <c r="E10" s="33">
        <v>137.09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</row>
    <row r="11" spans="1:12" ht="15" thickBot="1" x14ac:dyDescent="0.35">
      <c r="A11" s="2" t="s">
        <v>20</v>
      </c>
      <c r="B11" s="25"/>
      <c r="C11" s="34">
        <v>0</v>
      </c>
      <c r="D11" s="35">
        <v>0</v>
      </c>
      <c r="E11" s="35">
        <v>0</v>
      </c>
      <c r="F11" s="35">
        <v>0</v>
      </c>
      <c r="G11" s="35"/>
      <c r="H11" s="35"/>
      <c r="I11" s="35"/>
      <c r="J11" s="35"/>
      <c r="K11" s="35"/>
      <c r="L11" s="36"/>
    </row>
    <row r="12" spans="1:12" ht="15" thickBot="1" x14ac:dyDescent="0.35">
      <c r="A12" s="18" t="s">
        <v>16</v>
      </c>
      <c r="B12" s="16">
        <f>+B9/4</f>
        <v>21525</v>
      </c>
      <c r="C12" s="21">
        <f>+C9/4</f>
        <v>21525</v>
      </c>
      <c r="D12" s="21">
        <f t="shared" ref="D12:K12" si="3">+D9/4</f>
        <v>22177.223926380368</v>
      </c>
      <c r="E12" s="21">
        <f t="shared" si="3"/>
        <v>22077.377300613494</v>
      </c>
      <c r="F12" s="21">
        <f t="shared" si="3"/>
        <v>161.04294478527606</v>
      </c>
      <c r="G12" s="21">
        <f t="shared" si="3"/>
        <v>161.04294478527606</v>
      </c>
      <c r="H12" s="21">
        <f t="shared" si="3"/>
        <v>161.04294478527606</v>
      </c>
      <c r="I12" s="21">
        <f t="shared" si="3"/>
        <v>161.04294478527606</v>
      </c>
      <c r="J12" s="21">
        <f t="shared" si="3"/>
        <v>161.04294478527606</v>
      </c>
      <c r="K12" s="21">
        <f t="shared" si="3"/>
        <v>161.04294478527606</v>
      </c>
      <c r="L12" s="21">
        <f t="shared" ref="L12" si="4">+L9/4</f>
        <v>161.04294478527606</v>
      </c>
    </row>
    <row r="13" spans="1:12" ht="15" thickBot="1" x14ac:dyDescent="0.35"/>
    <row r="14" spans="1:12" ht="15" thickBot="1" x14ac:dyDescent="0.35">
      <c r="A14" s="37" t="s">
        <v>21</v>
      </c>
      <c r="B14" s="41">
        <v>8610</v>
      </c>
      <c r="D14" s="60">
        <f>+D12-C12</f>
        <v>652.22392638036763</v>
      </c>
    </row>
  </sheetData>
  <mergeCells count="2">
    <mergeCell ref="A1:B1"/>
    <mergeCell ref="C1:F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F4C-2C74-4FA9-A3EE-7CD14B3A6A87}">
  <dimension ref="B2:D15"/>
  <sheetViews>
    <sheetView workbookViewId="0">
      <selection activeCell="C21" sqref="C21"/>
    </sheetView>
  </sheetViews>
  <sheetFormatPr baseColWidth="10" defaultRowHeight="14.4" x14ac:dyDescent="0.3"/>
  <cols>
    <col min="2" max="2" width="4.77734375" bestFit="1" customWidth="1"/>
    <col min="3" max="3" width="29.77734375" bestFit="1" customWidth="1"/>
    <col min="4" max="4" width="51.77734375" bestFit="1" customWidth="1"/>
  </cols>
  <sheetData>
    <row r="2" spans="2:4" ht="15" thickBot="1" x14ac:dyDescent="0.35"/>
    <row r="3" spans="2:4" ht="15" thickBot="1" x14ac:dyDescent="0.35">
      <c r="C3" s="44" t="s">
        <v>23</v>
      </c>
      <c r="D3" s="45"/>
    </row>
    <row r="4" spans="2:4" ht="15" thickBot="1" x14ac:dyDescent="0.35">
      <c r="C4" s="46" t="s">
        <v>24</v>
      </c>
      <c r="D4" s="45"/>
    </row>
    <row r="5" spans="2:4" x14ac:dyDescent="0.3">
      <c r="B5" s="65" t="s">
        <v>25</v>
      </c>
      <c r="C5" s="47" t="s">
        <v>26</v>
      </c>
      <c r="D5" s="48"/>
    </row>
    <row r="6" spans="2:4" x14ac:dyDescent="0.3">
      <c r="B6" s="66"/>
      <c r="C6" s="49" t="s">
        <v>27</v>
      </c>
      <c r="D6" s="50"/>
    </row>
    <row r="7" spans="2:4" x14ac:dyDescent="0.3">
      <c r="B7" s="66"/>
      <c r="C7" s="49" t="s">
        <v>28</v>
      </c>
      <c r="D7" s="50"/>
    </row>
    <row r="8" spans="2:4" x14ac:dyDescent="0.3">
      <c r="B8" s="66"/>
      <c r="C8" s="49" t="s">
        <v>29</v>
      </c>
      <c r="D8" s="50"/>
    </row>
    <row r="9" spans="2:4" ht="15" thickBot="1" x14ac:dyDescent="0.35">
      <c r="B9" s="67"/>
      <c r="C9" s="51" t="s">
        <v>30</v>
      </c>
      <c r="D9" s="52"/>
    </row>
    <row r="10" spans="2:4" ht="38.549999999999997" customHeight="1" thickBot="1" x14ac:dyDescent="0.35">
      <c r="C10" s="53" t="s">
        <v>31</v>
      </c>
      <c r="D10" s="45"/>
    </row>
    <row r="11" spans="2:4" ht="15" thickBot="1" x14ac:dyDescent="0.35">
      <c r="C11" s="54" t="s">
        <v>32</v>
      </c>
      <c r="D11" s="55"/>
    </row>
    <row r="12" spans="2:4" ht="15" thickBot="1" x14ac:dyDescent="0.35">
      <c r="C12" s="54" t="s">
        <v>33</v>
      </c>
      <c r="D12" s="55"/>
    </row>
    <row r="13" spans="2:4" ht="15" thickBot="1" x14ac:dyDescent="0.35">
      <c r="C13" s="54" t="s">
        <v>34</v>
      </c>
      <c r="D13" s="56"/>
    </row>
    <row r="14" spans="2:4" ht="15" thickBot="1" x14ac:dyDescent="0.35">
      <c r="C14" s="54" t="s">
        <v>35</v>
      </c>
      <c r="D14" s="55"/>
    </row>
    <row r="15" spans="2:4" ht="15" thickBot="1" x14ac:dyDescent="0.35">
      <c r="C15" s="54" t="s">
        <v>36</v>
      </c>
      <c r="D15" s="45"/>
    </row>
  </sheetData>
  <mergeCells count="1">
    <mergeCell ref="B5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workbookViewId="0">
      <selection sqref="A1:B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68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x14ac:dyDescent="0.3">
      <c r="A2" s="1" t="s">
        <v>3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7" t="s">
        <v>5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6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7</v>
      </c>
      <c r="B5" s="8"/>
      <c r="C5" s="10"/>
      <c r="D5" s="8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8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  <row r="9" spans="1:12" x14ac:dyDescent="0.3">
      <c r="D9" s="15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sqref="A1:B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68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INFOS POUR 6660-REV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2026-01-27T13:26:59Z</dcterms:modified>
</cp:coreProperties>
</file>