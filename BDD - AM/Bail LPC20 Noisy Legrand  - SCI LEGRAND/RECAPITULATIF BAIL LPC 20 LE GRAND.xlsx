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20 Noisy Legrand  - SCI LEGRAND\"/>
    </mc:Choice>
  </mc:AlternateContent>
  <xr:revisionPtr revIDLastSave="0" documentId="13_ncr:1_{1481E200-39C8-42BC-B1E3-69B4BE45283D}" xr6:coauthVersionLast="47" xr6:coauthVersionMax="47" xr10:uidLastSave="{00000000-0000-0000-0000-000000000000}"/>
  <bookViews>
    <workbookView xWindow="-110" yWindow="-110" windowWidth="19420" windowHeight="10420" xr2:uid="{D19C1734-232A-4EF8-A8A3-10C7A12BD2C2}"/>
  </bookViews>
  <sheets>
    <sheet name="BAIL" sheetId="1" r:id="rId1"/>
    <sheet name="indexe" sheetId="4" r:id="rId2"/>
    <sheet name="CHARGES" sheetId="2" r:id="rId3"/>
    <sheet name="TAX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I4" i="1"/>
  <c r="E35" i="1"/>
  <c r="E36" i="1" s="1"/>
  <c r="I3" i="1"/>
  <c r="F24" i="1"/>
  <c r="E4" i="1"/>
  <c r="F4" i="1"/>
  <c r="G4" i="1"/>
  <c r="D4" i="1"/>
  <c r="O32" i="1"/>
  <c r="S33" i="1"/>
  <c r="R33" i="1"/>
  <c r="Q30" i="1"/>
  <c r="R30" i="1"/>
  <c r="S30" i="1"/>
  <c r="T30" i="1"/>
  <c r="U30" i="1"/>
  <c r="P30" i="1"/>
  <c r="O30" i="1"/>
  <c r="O33" i="1" s="1"/>
  <c r="L30" i="1"/>
  <c r="L33" i="1" s="1"/>
  <c r="K30" i="1"/>
  <c r="C33" i="1"/>
  <c r="D33" i="1"/>
  <c r="J33" i="1"/>
  <c r="M33" i="1"/>
  <c r="S14" i="1"/>
  <c r="T14" i="1"/>
  <c r="S15" i="1"/>
  <c r="T15" i="1"/>
  <c r="S16" i="1"/>
  <c r="T16" i="1"/>
  <c r="S17" i="1"/>
  <c r="T17" i="1"/>
  <c r="S18" i="1"/>
  <c r="T18" i="1"/>
  <c r="S19" i="1"/>
  <c r="T19" i="1"/>
  <c r="T22" i="1"/>
  <c r="T26" i="1"/>
  <c r="T31" i="1"/>
  <c r="T13" i="1"/>
  <c r="S13" i="1"/>
  <c r="R14" i="1"/>
  <c r="R15" i="1"/>
  <c r="R16" i="1"/>
  <c r="R18" i="1"/>
  <c r="R19" i="1"/>
  <c r="R20" i="1"/>
  <c r="R22" i="1"/>
  <c r="R23" i="1"/>
  <c r="R24" i="1"/>
  <c r="R26" i="1"/>
  <c r="R27" i="1"/>
  <c r="R28" i="1"/>
  <c r="R31" i="1"/>
  <c r="R32" i="1"/>
  <c r="R13" i="1"/>
  <c r="N29" i="1"/>
  <c r="P29" i="1" s="1"/>
  <c r="N28" i="1"/>
  <c r="P28" i="1" s="1"/>
  <c r="N27" i="1"/>
  <c r="P27" i="1" s="1"/>
  <c r="N32" i="1"/>
  <c r="P32" i="1" s="1"/>
  <c r="N31" i="1"/>
  <c r="P31" i="1" s="1"/>
  <c r="N26" i="1"/>
  <c r="P26" i="1" s="1"/>
  <c r="N25" i="1"/>
  <c r="P25" i="1" s="1"/>
  <c r="N24" i="1"/>
  <c r="P24" i="1" s="1"/>
  <c r="P19" i="1"/>
  <c r="P14" i="1"/>
  <c r="P15" i="1"/>
  <c r="P16" i="1"/>
  <c r="P17" i="1"/>
  <c r="P18" i="1"/>
  <c r="P20" i="1"/>
  <c r="P21" i="1"/>
  <c r="P22" i="1"/>
  <c r="P23" i="1"/>
  <c r="P13" i="1"/>
  <c r="H27" i="1"/>
  <c r="T27" i="1" s="1"/>
  <c r="G32" i="1"/>
  <c r="S32" i="1" s="1"/>
  <c r="G31" i="1"/>
  <c r="S31" i="1" s="1"/>
  <c r="G29" i="1"/>
  <c r="S29" i="1" s="1"/>
  <c r="G28" i="1"/>
  <c r="S28" i="1" s="1"/>
  <c r="G27" i="1"/>
  <c r="S27" i="1" s="1"/>
  <c r="G26" i="1"/>
  <c r="S26" i="1" s="1"/>
  <c r="G25" i="1"/>
  <c r="S25" i="1" s="1"/>
  <c r="G24" i="1"/>
  <c r="S24" i="1" s="1"/>
  <c r="H23" i="1"/>
  <c r="T23" i="1" s="1"/>
  <c r="T32" i="1"/>
  <c r="T33" i="1" s="1"/>
  <c r="H31" i="1"/>
  <c r="H29" i="1"/>
  <c r="T29" i="1" s="1"/>
  <c r="H28" i="1"/>
  <c r="T28" i="1" s="1"/>
  <c r="H26" i="1"/>
  <c r="H25" i="1"/>
  <c r="T25" i="1" s="1"/>
  <c r="H24" i="1"/>
  <c r="T24" i="1" s="1"/>
  <c r="G23" i="1"/>
  <c r="S23" i="1" s="1"/>
  <c r="H22" i="1"/>
  <c r="G22" i="1"/>
  <c r="S22" i="1" s="1"/>
  <c r="H21" i="1"/>
  <c r="T21" i="1" s="1"/>
  <c r="G21" i="1"/>
  <c r="S21" i="1" s="1"/>
  <c r="H20" i="1"/>
  <c r="T20" i="1" s="1"/>
  <c r="G20" i="1"/>
  <c r="S20" i="1" s="1"/>
  <c r="H33" i="1" l="1"/>
  <c r="G33" i="1"/>
  <c r="N33" i="1"/>
  <c r="P33" i="1"/>
  <c r="C7" i="1"/>
  <c r="C9" i="1" s="1"/>
  <c r="B13" i="1" s="1"/>
  <c r="Q13" i="1" s="1"/>
  <c r="C6" i="1"/>
  <c r="C8" i="1"/>
  <c r="D3" i="2"/>
  <c r="F13" i="1" l="1"/>
  <c r="I13" i="1" s="1"/>
  <c r="K13" i="1" s="1"/>
  <c r="U13" i="1" s="1"/>
  <c r="B14" i="1"/>
  <c r="Q14" i="1" s="1"/>
  <c r="D6" i="1"/>
  <c r="D7" i="1"/>
  <c r="F14" i="1" l="1"/>
  <c r="I14" i="1" s="1"/>
  <c r="K14" i="1" s="1"/>
  <c r="U14" i="1" s="1"/>
  <c r="B15" i="1"/>
  <c r="Q15" i="1" s="1"/>
  <c r="E6" i="1"/>
  <c r="D9" i="1"/>
  <c r="E7" i="1"/>
  <c r="B17" i="1" l="1"/>
  <c r="Q17" i="1" s="1"/>
  <c r="E17" i="1"/>
  <c r="F15" i="1"/>
  <c r="I15" i="1" s="1"/>
  <c r="K15" i="1" s="1"/>
  <c r="U15" i="1" s="1"/>
  <c r="B16" i="1"/>
  <c r="Q16" i="1" s="1"/>
  <c r="F6" i="1"/>
  <c r="F7" i="1"/>
  <c r="E9" i="1"/>
  <c r="R17" i="1" l="1"/>
  <c r="F16" i="1"/>
  <c r="I16" i="1" s="1"/>
  <c r="K16" i="1" s="1"/>
  <c r="U16" i="1" s="1"/>
  <c r="B21" i="1"/>
  <c r="Q21" i="1" s="1"/>
  <c r="E21" i="1"/>
  <c r="R21" i="1" s="1"/>
  <c r="B18" i="1"/>
  <c r="Q18" i="1" s="1"/>
  <c r="F17" i="1"/>
  <c r="I17" i="1" s="1"/>
  <c r="K17" i="1" s="1"/>
  <c r="U17" i="1" s="1"/>
  <c r="G6" i="1"/>
  <c r="H6" i="1" s="1"/>
  <c r="G7" i="1"/>
  <c r="F9" i="1"/>
  <c r="I6" i="1" l="1"/>
  <c r="J6" i="1" s="1"/>
  <c r="K6" i="1" s="1"/>
  <c r="L6" i="1" s="1"/>
  <c r="H4" i="1"/>
  <c r="B25" i="1"/>
  <c r="Q25" i="1" s="1"/>
  <c r="E25" i="1"/>
  <c r="R25" i="1" s="1"/>
  <c r="F18" i="1"/>
  <c r="I18" i="1" s="1"/>
  <c r="K18" i="1" s="1"/>
  <c r="U18" i="1" s="1"/>
  <c r="B19" i="1"/>
  <c r="Q19" i="1" s="1"/>
  <c r="B22" i="1"/>
  <c r="Q22" i="1" s="1"/>
  <c r="F21" i="1"/>
  <c r="I21" i="1" s="1"/>
  <c r="K21" i="1" s="1"/>
  <c r="U21" i="1" s="1"/>
  <c r="H7" i="1"/>
  <c r="G9" i="1"/>
  <c r="F19" i="1" l="1"/>
  <c r="I19" i="1" s="1"/>
  <c r="K19" i="1" s="1"/>
  <c r="U19" i="1" s="1"/>
  <c r="B20" i="1"/>
  <c r="E29" i="1"/>
  <c r="R29" i="1" s="1"/>
  <c r="B29" i="1"/>
  <c r="Q29" i="1" s="1"/>
  <c r="B23" i="1"/>
  <c r="Q23" i="1" s="1"/>
  <c r="F22" i="1"/>
  <c r="I22" i="1" s="1"/>
  <c r="K22" i="1" s="1"/>
  <c r="U22" i="1" s="1"/>
  <c r="B26" i="1"/>
  <c r="Q26" i="1" s="1"/>
  <c r="F25" i="1"/>
  <c r="I25" i="1" s="1"/>
  <c r="K25" i="1" s="1"/>
  <c r="U25" i="1" s="1"/>
  <c r="I7" i="1"/>
  <c r="H9" i="1"/>
  <c r="F20" i="1" l="1"/>
  <c r="I20" i="1" s="1"/>
  <c r="K20" i="1" s="1"/>
  <c r="U20" i="1" s="1"/>
  <c r="Q20" i="1"/>
  <c r="E33" i="1"/>
  <c r="B24" i="1"/>
  <c r="F23" i="1"/>
  <c r="I23" i="1" s="1"/>
  <c r="K23" i="1" s="1"/>
  <c r="U23" i="1" s="1"/>
  <c r="B31" i="1"/>
  <c r="Q31" i="1" s="1"/>
  <c r="F29" i="1"/>
  <c r="I29" i="1" s="1"/>
  <c r="K29" i="1" s="1"/>
  <c r="U29" i="1" s="1"/>
  <c r="B27" i="1"/>
  <c r="Q27" i="1" s="1"/>
  <c r="F26" i="1"/>
  <c r="I26" i="1" s="1"/>
  <c r="K26" i="1" s="1"/>
  <c r="U26" i="1" s="1"/>
  <c r="I9" i="1"/>
  <c r="J7" i="1"/>
  <c r="I24" i="1" l="1"/>
  <c r="K24" i="1" s="1"/>
  <c r="U24" i="1" s="1"/>
  <c r="Q24" i="1"/>
  <c r="B28" i="1"/>
  <c r="F27" i="1"/>
  <c r="I27" i="1" s="1"/>
  <c r="K27" i="1" s="1"/>
  <c r="U27" i="1" s="1"/>
  <c r="B32" i="1"/>
  <c r="F31" i="1"/>
  <c r="K7" i="1"/>
  <c r="J9" i="1"/>
  <c r="F28" i="1" l="1"/>
  <c r="I28" i="1" s="1"/>
  <c r="K28" i="1" s="1"/>
  <c r="U28" i="1" s="1"/>
  <c r="Q28" i="1"/>
  <c r="F32" i="1"/>
  <c r="I32" i="1" s="1"/>
  <c r="K32" i="1" s="1"/>
  <c r="U32" i="1" s="1"/>
  <c r="U33" i="1" s="1"/>
  <c r="B33" i="1"/>
  <c r="Q32" i="1"/>
  <c r="Q33" i="1" s="1"/>
  <c r="I31" i="1"/>
  <c r="F33" i="1"/>
  <c r="L7" i="1"/>
  <c r="L9" i="1" s="1"/>
  <c r="K9" i="1"/>
  <c r="K31" i="1" l="1"/>
  <c r="I33" i="1"/>
  <c r="U31" i="1" l="1"/>
  <c r="K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CHARBEL</author>
  </authors>
  <commentList>
    <comment ref="B8" authorId="0" shapeId="0" xr:uid="{7311E589-CD7B-4059-A7DC-C8542A7B4C90}">
      <text>
        <r>
          <rPr>
            <b/>
            <sz val="9"/>
            <color indexed="81"/>
            <rFont val="Tahoma"/>
            <charset val="1"/>
          </rPr>
          <t>Sabine CHARBEL:</t>
        </r>
        <r>
          <rPr>
            <sz val="9"/>
            <color indexed="81"/>
            <rFont val="Tahoma"/>
            <charset val="1"/>
          </rPr>
          <t xml:space="preserve">
Indice ILC 2T2017</t>
        </r>
      </text>
    </comment>
  </commentList>
</comments>
</file>

<file path=xl/sharedStrings.xml><?xml version="1.0" encoding="utf-8"?>
<sst xmlns="http://schemas.openxmlformats.org/spreadsheetml/2006/main" count="88" uniqueCount="74">
  <si>
    <t>BAILLEUR</t>
  </si>
  <si>
    <t>DATE DU BAIL</t>
  </si>
  <si>
    <t>DUREE</t>
  </si>
  <si>
    <t xml:space="preserve">10 ans </t>
  </si>
  <si>
    <t xml:space="preserve">DEPOT DE GARANTIE </t>
  </si>
  <si>
    <t>LOYER ANNUEL (HORS CHARGES)</t>
  </si>
  <si>
    <t>INDICE (INDEXATION DU LOYER)</t>
  </si>
  <si>
    <t>ANNEES</t>
  </si>
  <si>
    <t>INITIAL</t>
  </si>
  <si>
    <t xml:space="preserve">PROVISIONS POUR CHARGES </t>
  </si>
  <si>
    <t>-</t>
  </si>
  <si>
    <t>FRAIS ASSURANCES</t>
  </si>
  <si>
    <t xml:space="preserve">AUTRES CHARGES </t>
  </si>
  <si>
    <t xml:space="preserve">HONORAIRES </t>
  </si>
  <si>
    <t xml:space="preserve">TAXES FONCIERES </t>
  </si>
  <si>
    <t>REGULARISATION TAXE FONCIERE</t>
  </si>
  <si>
    <t>AJUSTEMENT DEPOT DE GARANTIE</t>
  </si>
  <si>
    <t xml:space="preserve">LPC 20 LE GRAND </t>
  </si>
  <si>
    <t xml:space="preserve">AUTRES TAXES </t>
  </si>
  <si>
    <t xml:space="preserve">SCI LE GRAND </t>
  </si>
  <si>
    <t>PRISE EFFET BAIL</t>
  </si>
  <si>
    <t>01/04/2018-31/03/2019</t>
  </si>
  <si>
    <t>LOYER TRIMESTRIEL (HORS CHARGES)</t>
  </si>
  <si>
    <t>01/04/2019-31/03/2020</t>
  </si>
  <si>
    <t>01/04/2020-31/03/2021</t>
  </si>
  <si>
    <t>01/04/2021-31/03/2022</t>
  </si>
  <si>
    <t>01/04/2022-31/03/2023</t>
  </si>
  <si>
    <t>01/04/2023-31/03/2024</t>
  </si>
  <si>
    <t>01/04/2024-31/03/2025</t>
  </si>
  <si>
    <t>01/04/2025-31/03/2026</t>
  </si>
  <si>
    <t>01/04/2026-31/03/2027</t>
  </si>
  <si>
    <t>01/04/2027-31/03/2028</t>
  </si>
  <si>
    <t>periode</t>
  </si>
  <si>
    <t>loyer de base</t>
  </si>
  <si>
    <t>réduction</t>
  </si>
  <si>
    <t>franchise</t>
  </si>
  <si>
    <t>CPLT DG</t>
  </si>
  <si>
    <t>loyer après franchise et réduction</t>
  </si>
  <si>
    <t>charges</t>
  </si>
  <si>
    <t>à payer HT</t>
  </si>
  <si>
    <t>ttc</t>
  </si>
  <si>
    <t>écart</t>
  </si>
  <si>
    <t>t2 2019</t>
  </si>
  <si>
    <t>t3 2019</t>
  </si>
  <si>
    <t>t4 2019</t>
  </si>
  <si>
    <t>t1 2020</t>
  </si>
  <si>
    <t>t2 2020</t>
  </si>
  <si>
    <t>t3 2020</t>
  </si>
  <si>
    <t>t4 2020</t>
  </si>
  <si>
    <t>t1 2021</t>
  </si>
  <si>
    <t>t2 2021</t>
  </si>
  <si>
    <t>t3 2021</t>
  </si>
  <si>
    <t>t4 2021</t>
  </si>
  <si>
    <t>t1 2022</t>
  </si>
  <si>
    <t>t2 2022</t>
  </si>
  <si>
    <t>t3 2022</t>
  </si>
  <si>
    <t>t4 2022</t>
  </si>
  <si>
    <t>t1 2019</t>
  </si>
  <si>
    <t>t2 2018</t>
  </si>
  <si>
    <t>t3 2018</t>
  </si>
  <si>
    <t>t4 2018</t>
  </si>
  <si>
    <t>TVA</t>
  </si>
  <si>
    <t>TF</t>
  </si>
  <si>
    <t>montant facturé loyé</t>
  </si>
  <si>
    <t>montant facturé global</t>
  </si>
  <si>
    <t>montant facturé DG</t>
  </si>
  <si>
    <t>montant facturé charge</t>
  </si>
  <si>
    <t>montant facturé TF</t>
  </si>
  <si>
    <t>écart loyé</t>
  </si>
  <si>
    <t>écart DG</t>
  </si>
  <si>
    <t>écart charges</t>
  </si>
  <si>
    <t>écart TF</t>
  </si>
  <si>
    <t>Régul 2018-30/06/22</t>
  </si>
  <si>
    <t>DG A REGULARISER sur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</si>
</sst>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40C]_-;\-* #,##0.00\ [$€-40C]_-;_-* &quot;-&quot;??\ [$€-40C]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7">
    <xf numFmtId="0" fontId="0" fillId="0" borderId="0" xfId="0"/>
    <xf numFmtId="0" fontId="2" fillId="3" borderId="3" xfId="0" applyFont="1" applyFill="1" applyBorder="1"/>
    <xf numFmtId="0" fontId="0" fillId="0" borderId="3" xfId="0" applyBorder="1" applyAlignment="1">
      <alignment horizontal="center" vertical="center"/>
    </xf>
    <xf numFmtId="0" fontId="2" fillId="3" borderId="4" xfId="0" applyFont="1" applyFill="1" applyBorder="1"/>
    <xf numFmtId="14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3" borderId="5" xfId="0" applyFont="1" applyFill="1" applyBorder="1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10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4" xfId="0" applyNumberFormat="1" applyBorder="1"/>
    <xf numFmtId="164" fontId="0" fillId="0" borderId="4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5" xfId="0" applyNumberFormat="1" applyBorder="1"/>
    <xf numFmtId="0" fontId="0" fillId="0" borderId="13" xfId="0" applyBorder="1"/>
    <xf numFmtId="14" fontId="0" fillId="0" borderId="10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2" fillId="3" borderId="14" xfId="0" applyFont="1" applyFill="1" applyBorder="1"/>
    <xf numFmtId="0" fontId="0" fillId="0" borderId="14" xfId="0" applyBorder="1"/>
    <xf numFmtId="44" fontId="0" fillId="0" borderId="14" xfId="1" applyFont="1" applyBorder="1"/>
    <xf numFmtId="164" fontId="0" fillId="0" borderId="4" xfId="1" applyNumberFormat="1" applyFont="1" applyBorder="1"/>
    <xf numFmtId="0" fontId="2" fillId="3" borderId="13" xfId="0" applyFont="1" applyFill="1" applyBorder="1"/>
    <xf numFmtId="165" fontId="0" fillId="0" borderId="13" xfId="0" applyNumberFormat="1" applyBorder="1"/>
    <xf numFmtId="165" fontId="0" fillId="4" borderId="13" xfId="0" applyNumberFormat="1" applyFill="1" applyBorder="1"/>
    <xf numFmtId="0" fontId="0" fillId="0" borderId="13" xfId="0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Border="1"/>
    <xf numFmtId="44" fontId="0" fillId="0" borderId="0" xfId="1" applyFont="1" applyBorder="1"/>
    <xf numFmtId="0" fontId="2" fillId="0" borderId="13" xfId="0" applyFont="1" applyBorder="1"/>
    <xf numFmtId="165" fontId="0" fillId="0" borderId="0" xfId="0" applyNumberFormat="1"/>
    <xf numFmtId="165" fontId="1" fillId="0" borderId="13" xfId="0" applyNumberFormat="1" applyFont="1" applyBorder="1"/>
    <xf numFmtId="0" fontId="7" fillId="0" borderId="0" xfId="0" applyFont="1"/>
    <xf numFmtId="164" fontId="7" fillId="0" borderId="0" xfId="0" applyNumberFormat="1" applyFont="1"/>
    <xf numFmtId="164" fontId="7" fillId="0" borderId="0" xfId="1" applyNumberFormat="1" applyFont="1" applyBorder="1"/>
    <xf numFmtId="44" fontId="7" fillId="0" borderId="0" xfId="1" applyFont="1" applyBorder="1"/>
    <xf numFmtId="0" fontId="7" fillId="0" borderId="13" xfId="0" applyFont="1" applyBorder="1"/>
    <xf numFmtId="165" fontId="7" fillId="0" borderId="13" xfId="0" applyNumberFormat="1" applyFont="1" applyBorder="1"/>
    <xf numFmtId="165" fontId="8" fillId="0" borderId="13" xfId="0" applyNumberFormat="1" applyFont="1" applyBorder="1"/>
    <xf numFmtId="165" fontId="8" fillId="5" borderId="13" xfId="0" applyNumberFormat="1" applyFont="1" applyFill="1" applyBorder="1"/>
    <xf numFmtId="0" fontId="8" fillId="0" borderId="6" xfId="0" applyFont="1" applyBorder="1"/>
    <xf numFmtId="165" fontId="0" fillId="5" borderId="8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66675</xdr:rowOff>
    </xdr:from>
    <xdr:to>
      <xdr:col>9</xdr:col>
      <xdr:colOff>616689</xdr:colOff>
      <xdr:row>39</xdr:row>
      <xdr:rowOff>112115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5F6D5DB-CDC0-47BD-BC8A-5CAD76A3C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66675"/>
          <a:ext cx="5302989" cy="7103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60CE-2915-4824-ADF5-5B0E65894390}">
  <sheetPr>
    <pageSetUpPr fitToPage="1"/>
  </sheetPr>
  <dimension ref="A1:V36"/>
  <sheetViews>
    <sheetView tabSelected="1" zoomScale="80" zoomScaleNormal="80" workbookViewId="0">
      <pane xSplit="2" ySplit="12" topLeftCell="D13" activePane="bottomRight" state="frozen"/>
      <selection pane="topRight" activeCell="C1" sqref="C1"/>
      <selection pane="bottomLeft" activeCell="A13" sqref="A13"/>
      <selection pane="bottomRight" activeCell="J5" sqref="J5"/>
    </sheetView>
  </sheetViews>
  <sheetFormatPr baseColWidth="10" defaultRowHeight="14.5" x14ac:dyDescent="0.35"/>
  <cols>
    <col min="1" max="1" width="32.81640625" bestFit="1" customWidth="1"/>
    <col min="2" max="2" width="13.26953125" bestFit="1" customWidth="1"/>
    <col min="3" max="3" width="20.81640625" bestFit="1" customWidth="1"/>
    <col min="4" max="4" width="26" bestFit="1" customWidth="1"/>
    <col min="5" max="7" width="20.81640625" bestFit="1" customWidth="1"/>
    <col min="8" max="11" width="21.90625" bestFit="1" customWidth="1"/>
    <col min="12" max="12" width="20.81640625" bestFit="1" customWidth="1"/>
    <col min="13" max="16" width="20.81640625" customWidth="1"/>
    <col min="17" max="20" width="20.81640625" style="42" customWidth="1"/>
    <col min="21" max="21" width="14.453125" style="42" bestFit="1" customWidth="1"/>
    <col min="22" max="22" width="15.36328125" bestFit="1" customWidth="1"/>
  </cols>
  <sheetData>
    <row r="1" spans="1:21" ht="15" thickBot="1" x14ac:dyDescent="0.4">
      <c r="A1" s="52" t="s">
        <v>17</v>
      </c>
      <c r="B1" s="53"/>
    </row>
    <row r="2" spans="1:21" x14ac:dyDescent="0.35">
      <c r="A2" s="1" t="s">
        <v>0</v>
      </c>
      <c r="B2" s="2" t="s">
        <v>19</v>
      </c>
    </row>
    <row r="3" spans="1:21" x14ac:dyDescent="0.35">
      <c r="A3" s="3" t="s">
        <v>1</v>
      </c>
      <c r="B3" s="4">
        <v>43021</v>
      </c>
      <c r="I3" s="36">
        <f>+I6-5811.95</f>
        <v>435.84400000000187</v>
      </c>
    </row>
    <row r="4" spans="1:21" ht="15" thickBot="1" x14ac:dyDescent="0.4">
      <c r="A4" s="10" t="s">
        <v>2</v>
      </c>
      <c r="B4" s="24" t="s">
        <v>3</v>
      </c>
      <c r="D4" s="36">
        <f>+D6-C6</f>
        <v>122.76600000000053</v>
      </c>
      <c r="E4" s="36">
        <f t="shared" ref="E4:H4" si="0">+E6-D6</f>
        <v>124.1880000000001</v>
      </c>
      <c r="F4" s="36">
        <f t="shared" si="0"/>
        <v>9.954000000000633</v>
      </c>
      <c r="G4" s="36">
        <f t="shared" si="0"/>
        <v>141.72599999999966</v>
      </c>
      <c r="H4" s="36">
        <f t="shared" si="0"/>
        <v>248.37600000000111</v>
      </c>
      <c r="I4" s="36">
        <f>+I6-H6</f>
        <v>386.78399999999965</v>
      </c>
      <c r="J4" s="36">
        <f>+J6-I6</f>
        <v>232.73399999999947</v>
      </c>
    </row>
    <row r="5" spans="1:21" x14ac:dyDescent="0.35">
      <c r="A5" s="1" t="s">
        <v>20</v>
      </c>
      <c r="B5" s="25">
        <v>43191</v>
      </c>
      <c r="C5" s="26" t="s">
        <v>21</v>
      </c>
      <c r="D5" s="26" t="s">
        <v>23</v>
      </c>
      <c r="E5" s="26" t="s">
        <v>24</v>
      </c>
      <c r="F5" s="26" t="s">
        <v>25</v>
      </c>
      <c r="G5" s="26" t="s">
        <v>26</v>
      </c>
      <c r="H5" s="26" t="s">
        <v>27</v>
      </c>
      <c r="I5" s="26" t="s">
        <v>28</v>
      </c>
      <c r="J5" s="26" t="s">
        <v>29</v>
      </c>
      <c r="K5" s="26" t="s">
        <v>30</v>
      </c>
      <c r="L5" s="26" t="s">
        <v>31</v>
      </c>
    </row>
    <row r="6" spans="1:21" x14ac:dyDescent="0.35">
      <c r="A6" s="3" t="s">
        <v>4</v>
      </c>
      <c r="B6" s="5">
        <v>5214</v>
      </c>
      <c r="C6" s="20">
        <f>+B6</f>
        <v>5214</v>
      </c>
      <c r="D6" s="20">
        <f>+C6*D8/C8</f>
        <v>5336.7660000000005</v>
      </c>
      <c r="E6" s="20">
        <f t="shared" ref="E6:L6" si="1">+D6*E8/D8</f>
        <v>5460.9540000000006</v>
      </c>
      <c r="F6" s="20">
        <f t="shared" si="1"/>
        <v>5470.9080000000013</v>
      </c>
      <c r="G6" s="20">
        <f t="shared" si="1"/>
        <v>5612.6340000000009</v>
      </c>
      <c r="H6" s="20">
        <f t="shared" si="1"/>
        <v>5861.010000000002</v>
      </c>
      <c r="I6" s="20">
        <f t="shared" si="1"/>
        <v>6247.7940000000017</v>
      </c>
      <c r="J6" s="20">
        <f t="shared" si="1"/>
        <v>6480.5280000000012</v>
      </c>
      <c r="K6" s="20">
        <f t="shared" si="1"/>
        <v>0</v>
      </c>
      <c r="L6" s="20" t="e">
        <f t="shared" si="1"/>
        <v>#DIV/0!</v>
      </c>
      <c r="M6" s="36"/>
      <c r="N6" s="36"/>
      <c r="O6" s="36"/>
      <c r="P6" s="36"/>
      <c r="Q6" s="43"/>
      <c r="R6" s="43"/>
      <c r="S6" s="43"/>
      <c r="T6" s="43"/>
    </row>
    <row r="7" spans="1:21" x14ac:dyDescent="0.35">
      <c r="A7" s="3" t="s">
        <v>5</v>
      </c>
      <c r="B7" s="5">
        <v>31284</v>
      </c>
      <c r="C7" s="31">
        <f>+B7</f>
        <v>31284</v>
      </c>
      <c r="D7" s="31">
        <f>+C7*D8/C8</f>
        <v>32020.596000000001</v>
      </c>
      <c r="E7" s="31">
        <f t="shared" ref="E7:L7" si="2">+D7*E8/D8</f>
        <v>32765.723999999998</v>
      </c>
      <c r="F7" s="31">
        <f t="shared" si="2"/>
        <v>32825.447999999997</v>
      </c>
      <c r="G7" s="31">
        <f t="shared" si="2"/>
        <v>33675.803999999996</v>
      </c>
      <c r="H7" s="31">
        <f t="shared" si="2"/>
        <v>35166.06</v>
      </c>
      <c r="I7" s="31">
        <f t="shared" si="2"/>
        <v>37486.763999999996</v>
      </c>
      <c r="J7" s="31">
        <f t="shared" si="2"/>
        <v>38883.167999999998</v>
      </c>
      <c r="K7" s="31">
        <f t="shared" si="2"/>
        <v>0</v>
      </c>
      <c r="L7" s="31" t="e">
        <f t="shared" si="2"/>
        <v>#DIV/0!</v>
      </c>
      <c r="M7" s="37"/>
      <c r="N7" s="37"/>
      <c r="O7" s="37"/>
      <c r="P7" s="37"/>
      <c r="Q7" s="44"/>
      <c r="R7" s="44"/>
      <c r="S7" s="44"/>
      <c r="T7" s="44"/>
    </row>
    <row r="8" spans="1:21" ht="15" thickBot="1" x14ac:dyDescent="0.4">
      <c r="A8" s="6" t="s">
        <v>6</v>
      </c>
      <c r="B8" s="7">
        <v>110</v>
      </c>
      <c r="C8" s="27">
        <f>+B8</f>
        <v>110</v>
      </c>
      <c r="D8" s="27">
        <v>112.59</v>
      </c>
      <c r="E8" s="27">
        <v>115.21</v>
      </c>
      <c r="F8" s="27">
        <v>115.42</v>
      </c>
      <c r="G8" s="27">
        <v>118.41</v>
      </c>
      <c r="H8" s="27">
        <v>123.65</v>
      </c>
      <c r="I8" s="27">
        <v>131.81</v>
      </c>
      <c r="J8" s="27">
        <v>136.72</v>
      </c>
      <c r="K8" s="27"/>
      <c r="L8" s="27"/>
    </row>
    <row r="9" spans="1:21" ht="15" thickBot="1" x14ac:dyDescent="0.4">
      <c r="A9" s="28" t="s">
        <v>22</v>
      </c>
      <c r="B9" s="29"/>
      <c r="C9" s="30">
        <f>+C7/4</f>
        <v>7821</v>
      </c>
      <c r="D9" s="30">
        <f>+D7/4</f>
        <v>8005.1490000000003</v>
      </c>
      <c r="E9" s="30">
        <f t="shared" ref="E9:L9" si="3">+E7/4</f>
        <v>8191.4309999999996</v>
      </c>
      <c r="F9" s="30">
        <f t="shared" si="3"/>
        <v>8206.3619999999992</v>
      </c>
      <c r="G9" s="30">
        <f t="shared" si="3"/>
        <v>8418.9509999999991</v>
      </c>
      <c r="H9" s="30">
        <f t="shared" si="3"/>
        <v>8791.5149999999994</v>
      </c>
      <c r="I9" s="30">
        <f t="shared" si="3"/>
        <v>9371.6909999999989</v>
      </c>
      <c r="J9" s="30">
        <f t="shared" si="3"/>
        <v>9720.7919999999995</v>
      </c>
      <c r="K9" s="30">
        <f t="shared" si="3"/>
        <v>0</v>
      </c>
      <c r="L9" s="30" t="e">
        <f t="shared" si="3"/>
        <v>#DIV/0!</v>
      </c>
      <c r="M9" s="38"/>
      <c r="N9" s="38"/>
      <c r="O9" s="38"/>
      <c r="P9" s="38"/>
      <c r="Q9" s="45"/>
      <c r="R9" s="45"/>
      <c r="S9" s="45"/>
      <c r="T9" s="45"/>
    </row>
    <row r="12" spans="1:21" x14ac:dyDescent="0.35">
      <c r="A12" s="32" t="s">
        <v>32</v>
      </c>
      <c r="B12" s="23" t="s">
        <v>33</v>
      </c>
      <c r="C12" s="23" t="s">
        <v>34</v>
      </c>
      <c r="D12" s="23" t="s">
        <v>35</v>
      </c>
      <c r="E12" s="23" t="s">
        <v>36</v>
      </c>
      <c r="F12" s="23" t="s">
        <v>37</v>
      </c>
      <c r="G12" s="35" t="s">
        <v>38</v>
      </c>
      <c r="H12" s="35" t="s">
        <v>62</v>
      </c>
      <c r="I12" s="23" t="s">
        <v>39</v>
      </c>
      <c r="J12" s="33" t="s">
        <v>61</v>
      </c>
      <c r="K12" s="23" t="s">
        <v>40</v>
      </c>
      <c r="L12" s="23" t="s">
        <v>63</v>
      </c>
      <c r="M12" s="23" t="s">
        <v>65</v>
      </c>
      <c r="N12" s="23" t="s">
        <v>66</v>
      </c>
      <c r="O12" s="23" t="s">
        <v>67</v>
      </c>
      <c r="P12" s="23" t="s">
        <v>64</v>
      </c>
      <c r="Q12" s="46" t="s">
        <v>68</v>
      </c>
      <c r="R12" s="46" t="s">
        <v>69</v>
      </c>
      <c r="S12" s="46" t="s">
        <v>70</v>
      </c>
      <c r="T12" s="46" t="s">
        <v>71</v>
      </c>
      <c r="U12" s="46" t="s">
        <v>41</v>
      </c>
    </row>
    <row r="13" spans="1:21" x14ac:dyDescent="0.35">
      <c r="A13" s="39" t="s">
        <v>58</v>
      </c>
      <c r="B13" s="33">
        <f>+C9</f>
        <v>7821</v>
      </c>
      <c r="C13" s="33"/>
      <c r="D13" s="33"/>
      <c r="E13" s="33"/>
      <c r="F13" s="33">
        <f t="shared" ref="F13:F32" si="4">+B13-C13-D13+E13</f>
        <v>7821</v>
      </c>
      <c r="G13" s="33">
        <v>1000</v>
      </c>
      <c r="H13" s="33"/>
      <c r="I13" s="33">
        <f>+G13+F13+H13</f>
        <v>8821</v>
      </c>
      <c r="J13" s="34"/>
      <c r="K13" s="33">
        <f t="shared" ref="K13" si="5">+I13+J13</f>
        <v>8821</v>
      </c>
      <c r="L13" s="33">
        <v>7821</v>
      </c>
      <c r="M13" s="33"/>
      <c r="N13" s="33">
        <v>1000</v>
      </c>
      <c r="O13" s="33"/>
      <c r="P13" s="33">
        <f>+L13+M13+N13+O13</f>
        <v>8821</v>
      </c>
      <c r="Q13" s="47">
        <f>+B13-L13</f>
        <v>0</v>
      </c>
      <c r="R13" s="47">
        <f>+E13-M13</f>
        <v>0</v>
      </c>
      <c r="S13" s="47">
        <f>+G13-N13</f>
        <v>0</v>
      </c>
      <c r="T13" s="47">
        <f>+H13-O13</f>
        <v>0</v>
      </c>
      <c r="U13" s="47">
        <f>+K13-P13</f>
        <v>0</v>
      </c>
    </row>
    <row r="14" spans="1:21" x14ac:dyDescent="0.35">
      <c r="A14" s="39" t="s">
        <v>59</v>
      </c>
      <c r="B14" s="33">
        <f>+B13</f>
        <v>7821</v>
      </c>
      <c r="C14" s="33"/>
      <c r="D14" s="33"/>
      <c r="E14" s="33"/>
      <c r="F14" s="33">
        <f t="shared" si="4"/>
        <v>7821</v>
      </c>
      <c r="G14" s="33">
        <v>1000</v>
      </c>
      <c r="H14" s="33"/>
      <c r="I14" s="33">
        <f t="shared" ref="I14:I32" si="6">+G14+F14+H14</f>
        <v>8821</v>
      </c>
      <c r="J14" s="34"/>
      <c r="K14" s="33">
        <f>+I14+J14</f>
        <v>8821</v>
      </c>
      <c r="L14" s="33">
        <v>7821</v>
      </c>
      <c r="M14" s="33"/>
      <c r="N14" s="33">
        <v>1000</v>
      </c>
      <c r="O14" s="33"/>
      <c r="P14" s="33">
        <f t="shared" ref="P14:P32" si="7">+L14+M14+N14+O14</f>
        <v>8821</v>
      </c>
      <c r="Q14" s="47">
        <f t="shared" ref="Q14:Q32" si="8">+B14-L14</f>
        <v>0</v>
      </c>
      <c r="R14" s="47">
        <f t="shared" ref="R14:R32" si="9">+E14-M14</f>
        <v>0</v>
      </c>
      <c r="S14" s="47">
        <f t="shared" ref="S14:S32" si="10">+G14-N14</f>
        <v>0</v>
      </c>
      <c r="T14" s="47">
        <f t="shared" ref="T14:T32" si="11">+H14-O14</f>
        <v>0</v>
      </c>
      <c r="U14" s="47">
        <f t="shared" ref="U14:U32" si="12">+K14-P14</f>
        <v>0</v>
      </c>
    </row>
    <row r="15" spans="1:21" x14ac:dyDescent="0.35">
      <c r="A15" s="23" t="s">
        <v>60</v>
      </c>
      <c r="B15" s="33">
        <f>+B14</f>
        <v>7821</v>
      </c>
      <c r="C15" s="33"/>
      <c r="D15" s="33"/>
      <c r="E15" s="33"/>
      <c r="F15" s="33">
        <f t="shared" si="4"/>
        <v>7821</v>
      </c>
      <c r="G15" s="33">
        <v>1000</v>
      </c>
      <c r="H15" s="33"/>
      <c r="I15" s="33">
        <f t="shared" si="6"/>
        <v>8821</v>
      </c>
      <c r="J15" s="34"/>
      <c r="K15" s="33">
        <f>+I15+J15</f>
        <v>8821</v>
      </c>
      <c r="L15" s="33">
        <v>7821</v>
      </c>
      <c r="M15" s="33"/>
      <c r="N15" s="33">
        <v>1000</v>
      </c>
      <c r="O15" s="33"/>
      <c r="P15" s="33">
        <f t="shared" si="7"/>
        <v>8821</v>
      </c>
      <c r="Q15" s="47">
        <f t="shared" si="8"/>
        <v>0</v>
      </c>
      <c r="R15" s="47">
        <f t="shared" si="9"/>
        <v>0</v>
      </c>
      <c r="S15" s="47">
        <f t="shared" si="10"/>
        <v>0</v>
      </c>
      <c r="T15" s="47">
        <f t="shared" si="11"/>
        <v>0</v>
      </c>
      <c r="U15" s="47">
        <f t="shared" si="12"/>
        <v>0</v>
      </c>
    </row>
    <row r="16" spans="1:21" x14ac:dyDescent="0.35">
      <c r="A16" s="39" t="s">
        <v>57</v>
      </c>
      <c r="B16" s="33">
        <f>+B15</f>
        <v>7821</v>
      </c>
      <c r="C16" s="33"/>
      <c r="D16" s="33"/>
      <c r="E16" s="33"/>
      <c r="F16" s="33">
        <f t="shared" si="4"/>
        <v>7821</v>
      </c>
      <c r="G16" s="33">
        <v>1000</v>
      </c>
      <c r="H16" s="33"/>
      <c r="I16" s="33">
        <f t="shared" si="6"/>
        <v>8821</v>
      </c>
      <c r="J16" s="34"/>
      <c r="K16" s="33">
        <f t="shared" ref="K16" si="13">+I16+J16</f>
        <v>8821</v>
      </c>
      <c r="L16" s="33">
        <v>7821</v>
      </c>
      <c r="M16" s="33"/>
      <c r="N16" s="33">
        <v>1000</v>
      </c>
      <c r="O16" s="33"/>
      <c r="P16" s="33">
        <f t="shared" si="7"/>
        <v>8821</v>
      </c>
      <c r="Q16" s="47">
        <f t="shared" si="8"/>
        <v>0</v>
      </c>
      <c r="R16" s="47">
        <f t="shared" si="9"/>
        <v>0</v>
      </c>
      <c r="S16" s="47">
        <f t="shared" si="10"/>
        <v>0</v>
      </c>
      <c r="T16" s="47">
        <f t="shared" si="11"/>
        <v>0</v>
      </c>
      <c r="U16" s="47">
        <f t="shared" si="12"/>
        <v>0</v>
      </c>
    </row>
    <row r="17" spans="1:22" x14ac:dyDescent="0.35">
      <c r="A17" s="39" t="s">
        <v>42</v>
      </c>
      <c r="B17" s="33">
        <f>+D9</f>
        <v>8005.1490000000003</v>
      </c>
      <c r="C17" s="33"/>
      <c r="D17" s="33"/>
      <c r="E17" s="33">
        <f>+$D$9-$C$9</f>
        <v>184.14900000000034</v>
      </c>
      <c r="F17" s="33">
        <f>+B17-C17-D17+E17</f>
        <v>8189.2980000000007</v>
      </c>
      <c r="G17" s="33">
        <v>1000</v>
      </c>
      <c r="H17" s="33"/>
      <c r="I17" s="33">
        <f t="shared" si="6"/>
        <v>9189.2980000000007</v>
      </c>
      <c r="J17" s="34"/>
      <c r="K17" s="33">
        <f t="shared" ref="K17" si="14">+I17+J17</f>
        <v>9189.2980000000007</v>
      </c>
      <c r="L17" s="33">
        <v>7821</v>
      </c>
      <c r="M17" s="33"/>
      <c r="N17" s="33">
        <v>1000</v>
      </c>
      <c r="O17" s="33"/>
      <c r="P17" s="33">
        <f t="shared" si="7"/>
        <v>8821</v>
      </c>
      <c r="Q17" s="47">
        <f t="shared" si="8"/>
        <v>184.14900000000034</v>
      </c>
      <c r="R17" s="47">
        <f t="shared" si="9"/>
        <v>184.14900000000034</v>
      </c>
      <c r="S17" s="47">
        <f t="shared" si="10"/>
        <v>0</v>
      </c>
      <c r="T17" s="47">
        <f t="shared" si="11"/>
        <v>0</v>
      </c>
      <c r="U17" s="47">
        <f t="shared" si="12"/>
        <v>368.29800000000068</v>
      </c>
    </row>
    <row r="18" spans="1:22" x14ac:dyDescent="0.35">
      <c r="A18" s="39" t="s">
        <v>43</v>
      </c>
      <c r="B18" s="33">
        <f>+B17</f>
        <v>8005.1490000000003</v>
      </c>
      <c r="C18" s="33"/>
      <c r="D18" s="33"/>
      <c r="E18" s="33"/>
      <c r="F18" s="33">
        <f t="shared" si="4"/>
        <v>8005.1490000000003</v>
      </c>
      <c r="G18" s="33">
        <v>1000</v>
      </c>
      <c r="H18" s="33"/>
      <c r="I18" s="33">
        <f t="shared" si="6"/>
        <v>9005.1490000000013</v>
      </c>
      <c r="J18" s="34"/>
      <c r="K18" s="33">
        <f>+I18+J18</f>
        <v>9005.1490000000013</v>
      </c>
      <c r="L18" s="33">
        <v>7821</v>
      </c>
      <c r="M18" s="33"/>
      <c r="N18" s="33">
        <v>1000</v>
      </c>
      <c r="O18" s="33"/>
      <c r="P18" s="33">
        <f t="shared" si="7"/>
        <v>8821</v>
      </c>
      <c r="Q18" s="47">
        <f t="shared" si="8"/>
        <v>184.14900000000034</v>
      </c>
      <c r="R18" s="47">
        <f t="shared" si="9"/>
        <v>0</v>
      </c>
      <c r="S18" s="47">
        <f t="shared" si="10"/>
        <v>0</v>
      </c>
      <c r="T18" s="47">
        <f t="shared" si="11"/>
        <v>0</v>
      </c>
      <c r="U18" s="47">
        <f t="shared" si="12"/>
        <v>184.14900000000125</v>
      </c>
    </row>
    <row r="19" spans="1:22" x14ac:dyDescent="0.35">
      <c r="A19" s="23" t="s">
        <v>44</v>
      </c>
      <c r="B19" s="33">
        <f>+B18</f>
        <v>8005.1490000000003</v>
      </c>
      <c r="C19" s="33"/>
      <c r="D19" s="33"/>
      <c r="E19" s="33"/>
      <c r="F19" s="33">
        <f t="shared" si="4"/>
        <v>8005.1490000000003</v>
      </c>
      <c r="G19" s="33">
        <v>1000</v>
      </c>
      <c r="H19" s="33">
        <v>4664</v>
      </c>
      <c r="I19" s="33">
        <f t="shared" si="6"/>
        <v>13669.149000000001</v>
      </c>
      <c r="J19" s="34"/>
      <c r="K19" s="33">
        <f>+I19+J19</f>
        <v>13669.149000000001</v>
      </c>
      <c r="L19" s="33">
        <v>7821</v>
      </c>
      <c r="M19" s="33"/>
      <c r="N19" s="33">
        <v>1000</v>
      </c>
      <c r="O19" s="33">
        <v>4664</v>
      </c>
      <c r="P19" s="33">
        <f t="shared" si="7"/>
        <v>13485</v>
      </c>
      <c r="Q19" s="47">
        <f t="shared" si="8"/>
        <v>184.14900000000034</v>
      </c>
      <c r="R19" s="47">
        <f t="shared" si="9"/>
        <v>0</v>
      </c>
      <c r="S19" s="47">
        <f t="shared" si="10"/>
        <v>0</v>
      </c>
      <c r="T19" s="47">
        <f t="shared" si="11"/>
        <v>0</v>
      </c>
      <c r="U19" s="47">
        <f t="shared" si="12"/>
        <v>184.14900000000125</v>
      </c>
      <c r="V19" s="40"/>
    </row>
    <row r="20" spans="1:22" x14ac:dyDescent="0.35">
      <c r="A20" s="23" t="s">
        <v>45</v>
      </c>
      <c r="B20" s="33">
        <f>+B19</f>
        <v>8005.1490000000003</v>
      </c>
      <c r="C20" s="33"/>
      <c r="D20" s="33"/>
      <c r="E20" s="33"/>
      <c r="F20" s="33">
        <f t="shared" si="4"/>
        <v>8005.1490000000003</v>
      </c>
      <c r="G20" s="33">
        <f>3750</f>
        <v>3750</v>
      </c>
      <c r="H20" s="33">
        <f>1150</f>
        <v>1150</v>
      </c>
      <c r="I20" s="33">
        <f t="shared" si="6"/>
        <v>12905.149000000001</v>
      </c>
      <c r="J20" s="34"/>
      <c r="K20" s="33">
        <f>+I20+J20</f>
        <v>12905.149000000001</v>
      </c>
      <c r="L20" s="33">
        <v>7821</v>
      </c>
      <c r="M20" s="33"/>
      <c r="N20" s="33">
        <v>3750</v>
      </c>
      <c r="O20" s="33">
        <v>1150</v>
      </c>
      <c r="P20" s="33">
        <f t="shared" si="7"/>
        <v>12721</v>
      </c>
      <c r="Q20" s="47">
        <f t="shared" si="8"/>
        <v>184.14900000000034</v>
      </c>
      <c r="R20" s="47">
        <f t="shared" si="9"/>
        <v>0</v>
      </c>
      <c r="S20" s="47">
        <f t="shared" si="10"/>
        <v>0</v>
      </c>
      <c r="T20" s="47">
        <f t="shared" si="11"/>
        <v>0</v>
      </c>
      <c r="U20" s="47">
        <f t="shared" si="12"/>
        <v>184.14900000000125</v>
      </c>
    </row>
    <row r="21" spans="1:22" x14ac:dyDescent="0.35">
      <c r="A21" s="23" t="s">
        <v>46</v>
      </c>
      <c r="B21" s="33">
        <f>+E9</f>
        <v>8191.4309999999996</v>
      </c>
      <c r="C21" s="33"/>
      <c r="D21" s="33"/>
      <c r="E21" s="33">
        <f>+$E$9-$D$9</f>
        <v>186.28199999999924</v>
      </c>
      <c r="F21" s="33">
        <f t="shared" si="4"/>
        <v>8377.7129999999997</v>
      </c>
      <c r="G21" s="33">
        <f>3750</f>
        <v>3750</v>
      </c>
      <c r="H21" s="33">
        <f>1150</f>
        <v>1150</v>
      </c>
      <c r="I21" s="33">
        <f t="shared" si="6"/>
        <v>13277.713</v>
      </c>
      <c r="J21" s="34"/>
      <c r="K21" s="33">
        <f>+I21+J21</f>
        <v>13277.713</v>
      </c>
      <c r="L21" s="33">
        <v>7821</v>
      </c>
      <c r="M21" s="33"/>
      <c r="N21" s="33">
        <v>3750</v>
      </c>
      <c r="O21" s="33">
        <v>1150</v>
      </c>
      <c r="P21" s="33">
        <f t="shared" si="7"/>
        <v>12721</v>
      </c>
      <c r="Q21" s="47">
        <f t="shared" si="8"/>
        <v>370.43099999999959</v>
      </c>
      <c r="R21" s="47">
        <f t="shared" si="9"/>
        <v>186.28199999999924</v>
      </c>
      <c r="S21" s="47">
        <f t="shared" si="10"/>
        <v>0</v>
      </c>
      <c r="T21" s="47">
        <f t="shared" si="11"/>
        <v>0</v>
      </c>
      <c r="U21" s="47">
        <f t="shared" si="12"/>
        <v>556.71299999999974</v>
      </c>
    </row>
    <row r="22" spans="1:22" x14ac:dyDescent="0.35">
      <c r="A22" s="23" t="s">
        <v>47</v>
      </c>
      <c r="B22" s="33">
        <f>+B21</f>
        <v>8191.4309999999996</v>
      </c>
      <c r="C22" s="33"/>
      <c r="D22" s="33"/>
      <c r="E22" s="33"/>
      <c r="F22" s="33">
        <f t="shared" si="4"/>
        <v>8191.4309999999996</v>
      </c>
      <c r="G22" s="33">
        <f>3750</f>
        <v>3750</v>
      </c>
      <c r="H22" s="33">
        <f>1150</f>
        <v>1150</v>
      </c>
      <c r="I22" s="33">
        <f t="shared" si="6"/>
        <v>13091.431</v>
      </c>
      <c r="J22" s="34"/>
      <c r="K22" s="33">
        <f t="shared" ref="K22:K32" si="15">+I22+J22</f>
        <v>13091.431</v>
      </c>
      <c r="L22" s="33">
        <v>7821</v>
      </c>
      <c r="M22" s="33"/>
      <c r="N22" s="33">
        <v>3750</v>
      </c>
      <c r="O22" s="33">
        <v>1150</v>
      </c>
      <c r="P22" s="33">
        <f t="shared" si="7"/>
        <v>12721</v>
      </c>
      <c r="Q22" s="47">
        <f t="shared" si="8"/>
        <v>370.43099999999959</v>
      </c>
      <c r="R22" s="47">
        <f t="shared" si="9"/>
        <v>0</v>
      </c>
      <c r="S22" s="47">
        <f t="shared" si="10"/>
        <v>0</v>
      </c>
      <c r="T22" s="47">
        <f t="shared" si="11"/>
        <v>0</v>
      </c>
      <c r="U22" s="47">
        <f t="shared" si="12"/>
        <v>370.43100000000049</v>
      </c>
    </row>
    <row r="23" spans="1:22" x14ac:dyDescent="0.35">
      <c r="A23" s="23" t="s">
        <v>48</v>
      </c>
      <c r="B23" s="33">
        <f>+B22</f>
        <v>8191.4309999999996</v>
      </c>
      <c r="C23" s="33"/>
      <c r="D23" s="33"/>
      <c r="E23" s="33"/>
      <c r="F23" s="33">
        <f t="shared" si="4"/>
        <v>8191.4309999999996</v>
      </c>
      <c r="G23" s="33">
        <f>3750</f>
        <v>3750</v>
      </c>
      <c r="H23" s="33">
        <f>4686-1150*3</f>
        <v>1236</v>
      </c>
      <c r="I23" s="33">
        <f t="shared" si="6"/>
        <v>13177.431</v>
      </c>
      <c r="J23" s="34"/>
      <c r="K23" s="33">
        <f t="shared" si="15"/>
        <v>13177.431</v>
      </c>
      <c r="L23" s="33">
        <v>7821</v>
      </c>
      <c r="M23" s="33"/>
      <c r="N23" s="33">
        <v>3750</v>
      </c>
      <c r="O23" s="33">
        <v>1236</v>
      </c>
      <c r="P23" s="33">
        <f t="shared" si="7"/>
        <v>12807</v>
      </c>
      <c r="Q23" s="47">
        <f t="shared" si="8"/>
        <v>370.43099999999959</v>
      </c>
      <c r="R23" s="47">
        <f t="shared" si="9"/>
        <v>0</v>
      </c>
      <c r="S23" s="47">
        <f t="shared" si="10"/>
        <v>0</v>
      </c>
      <c r="T23" s="47">
        <f t="shared" si="11"/>
        <v>0</v>
      </c>
      <c r="U23" s="47">
        <f t="shared" si="12"/>
        <v>370.43100000000049</v>
      </c>
      <c r="V23" s="40"/>
    </row>
    <row r="24" spans="1:22" x14ac:dyDescent="0.35">
      <c r="A24" s="23" t="s">
        <v>49</v>
      </c>
      <c r="B24" s="33">
        <f>+B23</f>
        <v>8191.4309999999996</v>
      </c>
      <c r="C24" s="33"/>
      <c r="D24" s="33"/>
      <c r="E24" s="33"/>
      <c r="F24" s="33">
        <f t="shared" si="4"/>
        <v>8191.4309999999996</v>
      </c>
      <c r="G24" s="33">
        <f>4115-1150</f>
        <v>2965</v>
      </c>
      <c r="H24" s="33">
        <f>1150</f>
        <v>1150</v>
      </c>
      <c r="I24" s="33">
        <f t="shared" si="6"/>
        <v>12306.431</v>
      </c>
      <c r="J24" s="34"/>
      <c r="K24" s="33">
        <f t="shared" si="15"/>
        <v>12306.431</v>
      </c>
      <c r="L24" s="33">
        <v>3706</v>
      </c>
      <c r="M24" s="33"/>
      <c r="N24" s="33">
        <f t="shared" ref="N24:N32" si="16">4115-1150</f>
        <v>2965</v>
      </c>
      <c r="O24" s="33">
        <v>1150</v>
      </c>
      <c r="P24" s="33">
        <f t="shared" si="7"/>
        <v>7821</v>
      </c>
      <c r="Q24" s="47">
        <f t="shared" si="8"/>
        <v>4485.4309999999996</v>
      </c>
      <c r="R24" s="47">
        <f t="shared" si="9"/>
        <v>0</v>
      </c>
      <c r="S24" s="47">
        <f t="shared" si="10"/>
        <v>0</v>
      </c>
      <c r="T24" s="47">
        <f t="shared" si="11"/>
        <v>0</v>
      </c>
      <c r="U24" s="47">
        <f t="shared" si="12"/>
        <v>4485.4310000000005</v>
      </c>
    </row>
    <row r="25" spans="1:22" x14ac:dyDescent="0.35">
      <c r="A25" s="23" t="s">
        <v>50</v>
      </c>
      <c r="B25" s="33">
        <f>+F9</f>
        <v>8206.3619999999992</v>
      </c>
      <c r="C25" s="33"/>
      <c r="D25" s="33"/>
      <c r="E25" s="33">
        <f>+$F$9-$E$9</f>
        <v>14.930999999999585</v>
      </c>
      <c r="F25" s="33">
        <f t="shared" si="4"/>
        <v>8221.2929999999978</v>
      </c>
      <c r="G25" s="33">
        <f t="shared" ref="G25:G32" si="17">4115-1150</f>
        <v>2965</v>
      </c>
      <c r="H25" s="33">
        <f>1150</f>
        <v>1150</v>
      </c>
      <c r="I25" s="33">
        <f t="shared" si="6"/>
        <v>12336.292999999998</v>
      </c>
      <c r="J25" s="34"/>
      <c r="K25" s="33">
        <f t="shared" si="15"/>
        <v>12336.292999999998</v>
      </c>
      <c r="L25" s="33">
        <v>3706</v>
      </c>
      <c r="M25" s="33"/>
      <c r="N25" s="33">
        <f t="shared" si="16"/>
        <v>2965</v>
      </c>
      <c r="O25" s="33">
        <v>1150</v>
      </c>
      <c r="P25" s="33">
        <f t="shared" si="7"/>
        <v>7821</v>
      </c>
      <c r="Q25" s="47">
        <f t="shared" si="8"/>
        <v>4500.3619999999992</v>
      </c>
      <c r="R25" s="47">
        <f t="shared" si="9"/>
        <v>14.930999999999585</v>
      </c>
      <c r="S25" s="47">
        <f t="shared" si="10"/>
        <v>0</v>
      </c>
      <c r="T25" s="47">
        <f t="shared" si="11"/>
        <v>0</v>
      </c>
      <c r="U25" s="47">
        <f t="shared" si="12"/>
        <v>4515.2929999999978</v>
      </c>
    </row>
    <row r="26" spans="1:22" x14ac:dyDescent="0.35">
      <c r="A26" s="23" t="s">
        <v>51</v>
      </c>
      <c r="B26" s="33">
        <f>+B25</f>
        <v>8206.3619999999992</v>
      </c>
      <c r="C26" s="33"/>
      <c r="D26" s="33"/>
      <c r="E26" s="33"/>
      <c r="F26" s="33">
        <f t="shared" si="4"/>
        <v>8206.3619999999992</v>
      </c>
      <c r="G26" s="33">
        <f t="shared" si="17"/>
        <v>2965</v>
      </c>
      <c r="H26" s="33">
        <f>1150</f>
        <v>1150</v>
      </c>
      <c r="I26" s="33">
        <f t="shared" si="6"/>
        <v>12321.361999999999</v>
      </c>
      <c r="J26" s="34"/>
      <c r="K26" s="33">
        <f t="shared" si="15"/>
        <v>12321.361999999999</v>
      </c>
      <c r="L26" s="33">
        <v>7796.09</v>
      </c>
      <c r="M26" s="33"/>
      <c r="N26" s="33">
        <f t="shared" si="16"/>
        <v>2965</v>
      </c>
      <c r="O26" s="33">
        <v>1150</v>
      </c>
      <c r="P26" s="33">
        <f t="shared" si="7"/>
        <v>11911.09</v>
      </c>
      <c r="Q26" s="47">
        <f t="shared" si="8"/>
        <v>410.27199999999903</v>
      </c>
      <c r="R26" s="47">
        <f t="shared" si="9"/>
        <v>0</v>
      </c>
      <c r="S26" s="47">
        <f t="shared" si="10"/>
        <v>0</v>
      </c>
      <c r="T26" s="47">
        <f t="shared" si="11"/>
        <v>0</v>
      </c>
      <c r="U26" s="47">
        <f t="shared" si="12"/>
        <v>410.27199999999903</v>
      </c>
    </row>
    <row r="27" spans="1:22" x14ac:dyDescent="0.35">
      <c r="A27" s="23" t="s">
        <v>52</v>
      </c>
      <c r="B27" s="33">
        <f>+B26</f>
        <v>8206.3619999999992</v>
      </c>
      <c r="C27" s="33"/>
      <c r="D27" s="33"/>
      <c r="E27" s="33"/>
      <c r="F27" s="33">
        <f t="shared" si="4"/>
        <v>8206.3619999999992</v>
      </c>
      <c r="G27" s="33">
        <f t="shared" si="17"/>
        <v>2965</v>
      </c>
      <c r="H27" s="33">
        <f>4729-1150*3</f>
        <v>1279</v>
      </c>
      <c r="I27" s="33">
        <f t="shared" si="6"/>
        <v>12450.361999999999</v>
      </c>
      <c r="J27" s="34"/>
      <c r="K27" s="33">
        <f t="shared" si="15"/>
        <v>12450.361999999999</v>
      </c>
      <c r="L27" s="33">
        <v>7796.09</v>
      </c>
      <c r="M27" s="33"/>
      <c r="N27" s="33">
        <f t="shared" si="16"/>
        <v>2965</v>
      </c>
      <c r="O27" s="33">
        <v>1150</v>
      </c>
      <c r="P27" s="33">
        <f t="shared" si="7"/>
        <v>11911.09</v>
      </c>
      <c r="Q27" s="47">
        <f t="shared" si="8"/>
        <v>410.27199999999903</v>
      </c>
      <c r="R27" s="47">
        <f t="shared" si="9"/>
        <v>0</v>
      </c>
      <c r="S27" s="47">
        <f t="shared" si="10"/>
        <v>0</v>
      </c>
      <c r="T27" s="47">
        <f t="shared" si="11"/>
        <v>129</v>
      </c>
      <c r="U27" s="47">
        <f t="shared" si="12"/>
        <v>539.27199999999903</v>
      </c>
      <c r="V27" s="40"/>
    </row>
    <row r="28" spans="1:22" x14ac:dyDescent="0.35">
      <c r="A28" s="23" t="s">
        <v>53</v>
      </c>
      <c r="B28" s="33">
        <f>+B27</f>
        <v>8206.3619999999992</v>
      </c>
      <c r="C28" s="33"/>
      <c r="D28" s="33"/>
      <c r="E28" s="33"/>
      <c r="F28" s="33">
        <f t="shared" si="4"/>
        <v>8206.3619999999992</v>
      </c>
      <c r="G28" s="33">
        <f t="shared" si="17"/>
        <v>2965</v>
      </c>
      <c r="H28" s="33">
        <f>1150</f>
        <v>1150</v>
      </c>
      <c r="I28" s="33">
        <f t="shared" si="6"/>
        <v>12321.361999999999</v>
      </c>
      <c r="J28" s="34"/>
      <c r="K28" s="33">
        <f t="shared" si="15"/>
        <v>12321.361999999999</v>
      </c>
      <c r="L28" s="33">
        <v>7796.09</v>
      </c>
      <c r="M28" s="33"/>
      <c r="N28" s="33">
        <f t="shared" si="16"/>
        <v>2965</v>
      </c>
      <c r="O28" s="33">
        <v>1150</v>
      </c>
      <c r="P28" s="33">
        <f t="shared" si="7"/>
        <v>11911.09</v>
      </c>
      <c r="Q28" s="47">
        <f t="shared" si="8"/>
        <v>410.27199999999903</v>
      </c>
      <c r="R28" s="47">
        <f t="shared" si="9"/>
        <v>0</v>
      </c>
      <c r="S28" s="47">
        <f t="shared" si="10"/>
        <v>0</v>
      </c>
      <c r="T28" s="47">
        <f t="shared" si="11"/>
        <v>0</v>
      </c>
      <c r="U28" s="47">
        <f t="shared" si="12"/>
        <v>410.27199999999903</v>
      </c>
    </row>
    <row r="29" spans="1:22" x14ac:dyDescent="0.35">
      <c r="A29" s="23" t="s">
        <v>54</v>
      </c>
      <c r="B29" s="33">
        <f>+G9</f>
        <v>8418.9509999999991</v>
      </c>
      <c r="C29" s="33"/>
      <c r="D29" s="33"/>
      <c r="E29" s="33">
        <f>+$G$9-$F$9</f>
        <v>212.58899999999994</v>
      </c>
      <c r="F29" s="33">
        <f t="shared" si="4"/>
        <v>8631.5399999999991</v>
      </c>
      <c r="G29" s="33">
        <f t="shared" si="17"/>
        <v>2965</v>
      </c>
      <c r="H29" s="33">
        <f>1150</f>
        <v>1150</v>
      </c>
      <c r="I29" s="33">
        <f t="shared" si="6"/>
        <v>12746.539999999999</v>
      </c>
      <c r="J29" s="34"/>
      <c r="K29" s="33">
        <f t="shared" si="15"/>
        <v>12746.539999999999</v>
      </c>
      <c r="L29" s="33">
        <v>7796.09</v>
      </c>
      <c r="M29" s="33"/>
      <c r="N29" s="33">
        <f t="shared" si="16"/>
        <v>2965</v>
      </c>
      <c r="O29" s="33">
        <v>1150</v>
      </c>
      <c r="P29" s="33">
        <f t="shared" si="7"/>
        <v>11911.09</v>
      </c>
      <c r="Q29" s="47">
        <f t="shared" si="8"/>
        <v>622.86099999999897</v>
      </c>
      <c r="R29" s="47">
        <f t="shared" si="9"/>
        <v>212.58899999999994</v>
      </c>
      <c r="S29" s="47">
        <f t="shared" si="10"/>
        <v>0</v>
      </c>
      <c r="T29" s="47">
        <f t="shared" si="11"/>
        <v>0</v>
      </c>
      <c r="U29" s="47">
        <f t="shared" si="12"/>
        <v>835.44999999999891</v>
      </c>
      <c r="V29" s="40"/>
    </row>
    <row r="30" spans="1:22" x14ac:dyDescent="0.35">
      <c r="A30" s="23" t="s">
        <v>72</v>
      </c>
      <c r="B30" s="33"/>
      <c r="C30" s="33"/>
      <c r="D30" s="33"/>
      <c r="E30" s="33"/>
      <c r="F30" s="33"/>
      <c r="G30" s="33"/>
      <c r="H30" s="33"/>
      <c r="I30" s="33"/>
      <c r="J30" s="34"/>
      <c r="K30" s="33">
        <f t="shared" si="15"/>
        <v>0</v>
      </c>
      <c r="L30" s="33">
        <f>552.45+1295.44+9806.34+1033.13</f>
        <v>12687.36</v>
      </c>
      <c r="M30" s="33"/>
      <c r="N30" s="33">
        <v>0</v>
      </c>
      <c r="O30" s="33">
        <f>4729-4600</f>
        <v>129</v>
      </c>
      <c r="P30" s="33">
        <f t="shared" si="7"/>
        <v>12816.36</v>
      </c>
      <c r="Q30" s="47">
        <f t="shared" ref="Q30" si="18">+B30-L30</f>
        <v>-12687.36</v>
      </c>
      <c r="R30" s="47">
        <f t="shared" ref="R30" si="19">+E30-M30</f>
        <v>0</v>
      </c>
      <c r="S30" s="47">
        <f t="shared" ref="S30" si="20">+G30-N30</f>
        <v>0</v>
      </c>
      <c r="T30" s="47">
        <f t="shared" ref="T30" si="21">+H30-O30</f>
        <v>-129</v>
      </c>
      <c r="U30" s="47">
        <f t="shared" ref="U30" si="22">+K30-P30</f>
        <v>-12816.36</v>
      </c>
      <c r="V30" s="40"/>
    </row>
    <row r="31" spans="1:22" x14ac:dyDescent="0.35">
      <c r="A31" s="23" t="s">
        <v>55</v>
      </c>
      <c r="B31" s="33">
        <f>+B29</f>
        <v>8418.9509999999991</v>
      </c>
      <c r="C31" s="33"/>
      <c r="D31" s="33"/>
      <c r="E31" s="33"/>
      <c r="F31" s="33">
        <f t="shared" si="4"/>
        <v>8418.9509999999991</v>
      </c>
      <c r="G31" s="33">
        <f t="shared" si="17"/>
        <v>2965</v>
      </c>
      <c r="H31" s="33">
        <f>1150</f>
        <v>1150</v>
      </c>
      <c r="I31" s="33">
        <f t="shared" si="6"/>
        <v>12533.950999999999</v>
      </c>
      <c r="J31" s="34"/>
      <c r="K31" s="33">
        <f t="shared" si="15"/>
        <v>12533.950999999999</v>
      </c>
      <c r="L31" s="33">
        <v>8418.9500000000007</v>
      </c>
      <c r="M31" s="33">
        <v>597.95000000000005</v>
      </c>
      <c r="N31" s="33">
        <f t="shared" si="16"/>
        <v>2965</v>
      </c>
      <c r="O31" s="33">
        <v>1150</v>
      </c>
      <c r="P31" s="33">
        <f t="shared" si="7"/>
        <v>13131.900000000001</v>
      </c>
      <c r="Q31" s="47">
        <f t="shared" si="8"/>
        <v>9.9999999838473741E-4</v>
      </c>
      <c r="R31" s="47">
        <f t="shared" si="9"/>
        <v>-597.95000000000005</v>
      </c>
      <c r="S31" s="47">
        <f t="shared" si="10"/>
        <v>0</v>
      </c>
      <c r="T31" s="47">
        <f t="shared" si="11"/>
        <v>0</v>
      </c>
      <c r="U31" s="47">
        <f t="shared" si="12"/>
        <v>-597.94900000000234</v>
      </c>
    </row>
    <row r="32" spans="1:22" x14ac:dyDescent="0.35">
      <c r="A32" s="23" t="s">
        <v>56</v>
      </c>
      <c r="B32" s="33">
        <f>+B31</f>
        <v>8418.9509999999991</v>
      </c>
      <c r="C32" s="33"/>
      <c r="D32" s="33"/>
      <c r="E32" s="33"/>
      <c r="F32" s="33">
        <f t="shared" si="4"/>
        <v>8418.9509999999991</v>
      </c>
      <c r="G32" s="33">
        <f t="shared" si="17"/>
        <v>2965</v>
      </c>
      <c r="H32" s="33">
        <v>1401</v>
      </c>
      <c r="I32" s="33">
        <f t="shared" si="6"/>
        <v>12784.950999999999</v>
      </c>
      <c r="J32" s="34"/>
      <c r="K32" s="33">
        <f t="shared" si="15"/>
        <v>12784.950999999999</v>
      </c>
      <c r="L32" s="33">
        <v>8418.9500000000007</v>
      </c>
      <c r="M32" s="33"/>
      <c r="N32" s="33">
        <f t="shared" si="16"/>
        <v>2965</v>
      </c>
      <c r="O32" s="33">
        <f>-3450+4851</f>
        <v>1401</v>
      </c>
      <c r="P32" s="33">
        <f t="shared" si="7"/>
        <v>12784.95</v>
      </c>
      <c r="Q32" s="47">
        <f t="shared" si="8"/>
        <v>9.9999999838473741E-4</v>
      </c>
      <c r="R32" s="47">
        <f t="shared" si="9"/>
        <v>0</v>
      </c>
      <c r="S32" s="47">
        <f t="shared" si="10"/>
        <v>0</v>
      </c>
      <c r="T32" s="47">
        <f t="shared" si="11"/>
        <v>0</v>
      </c>
      <c r="U32" s="47">
        <f t="shared" si="12"/>
        <v>9.9999999838473741E-4</v>
      </c>
    </row>
    <row r="33" spans="2:22" x14ac:dyDescent="0.35">
      <c r="B33" s="41">
        <f t="shared" ref="B33:O33" si="23">SUM(B13:B32)</f>
        <v>154152.62099999996</v>
      </c>
      <c r="C33" s="41">
        <f t="shared" si="23"/>
        <v>0</v>
      </c>
      <c r="D33" s="41">
        <f t="shared" si="23"/>
        <v>0</v>
      </c>
      <c r="E33" s="41">
        <f t="shared" si="23"/>
        <v>597.95099999999911</v>
      </c>
      <c r="F33" s="41">
        <f t="shared" si="23"/>
        <v>154750.57199999999</v>
      </c>
      <c r="G33" s="41">
        <f t="shared" si="23"/>
        <v>45720</v>
      </c>
      <c r="H33" s="41">
        <f t="shared" si="23"/>
        <v>18930</v>
      </c>
      <c r="I33" s="41">
        <f t="shared" si="23"/>
        <v>219400.57200000001</v>
      </c>
      <c r="J33" s="41">
        <f t="shared" si="23"/>
        <v>0</v>
      </c>
      <c r="K33" s="41">
        <f t="shared" si="23"/>
        <v>219400.57200000001</v>
      </c>
      <c r="L33" s="41">
        <f t="shared" si="23"/>
        <v>154152.62</v>
      </c>
      <c r="M33" s="41">
        <f t="shared" si="23"/>
        <v>597.95000000000005</v>
      </c>
      <c r="N33" s="41">
        <f t="shared" si="23"/>
        <v>45720</v>
      </c>
      <c r="O33" s="41">
        <f t="shared" si="23"/>
        <v>18930</v>
      </c>
      <c r="P33" s="41">
        <f>SUM(P13:P32)</f>
        <v>219400.56999999998</v>
      </c>
      <c r="Q33" s="48">
        <f t="shared" ref="Q33:T33" si="24">SUM(Q13:Q32)</f>
        <v>9.999999911087798E-4</v>
      </c>
      <c r="R33" s="48">
        <f t="shared" si="24"/>
        <v>9.9999999906685844E-4</v>
      </c>
      <c r="S33" s="48">
        <f t="shared" si="24"/>
        <v>0</v>
      </c>
      <c r="T33" s="48">
        <f t="shared" si="24"/>
        <v>0</v>
      </c>
      <c r="U33" s="49">
        <f>SUM(U13:U32)</f>
        <v>1.9999999949504854E-3</v>
      </c>
      <c r="V33" s="41"/>
    </row>
    <row r="35" spans="2:22" ht="15" thickBot="1" x14ac:dyDescent="0.4">
      <c r="E35" s="36">
        <f>+D4+E4+F4+G4+H4</f>
        <v>647.01000000000204</v>
      </c>
    </row>
    <row r="36" spans="2:22" ht="15" thickBot="1" x14ac:dyDescent="0.4">
      <c r="D36" s="50" t="s">
        <v>73</v>
      </c>
      <c r="E36" s="51">
        <f>+E35-E33</f>
        <v>49.059000000002925</v>
      </c>
    </row>
  </sheetData>
  <mergeCells count="1">
    <mergeCell ref="A1:B1"/>
  </mergeCells>
  <phoneticPr fontId="6" type="noConversion"/>
  <pageMargins left="0.7" right="0.7" top="0.75" bottom="0.75" header="0.3" footer="0.3"/>
  <pageSetup paperSize="9" scale="31" orientation="landscape" r:id="rId1"/>
  <colBreaks count="1" manualBreakCount="1">
    <brk id="21" max="31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3A9C-AE82-4033-81A8-67D10973FF7B}">
  <dimension ref="A1"/>
  <sheetViews>
    <sheetView workbookViewId="0">
      <selection activeCell="L12" sqref="L1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E39D-13B6-4F98-8CF5-D6D17AABE3C2}">
  <dimension ref="A1:E6"/>
  <sheetViews>
    <sheetView workbookViewId="0">
      <selection sqref="A1:E6"/>
    </sheetView>
  </sheetViews>
  <sheetFormatPr baseColWidth="10" defaultRowHeight="14.5" x14ac:dyDescent="0.35"/>
  <cols>
    <col min="1" max="1" width="27.54296875" bestFit="1" customWidth="1"/>
  </cols>
  <sheetData>
    <row r="1" spans="1:5" ht="15" thickBot="1" x14ac:dyDescent="0.4">
      <c r="A1" s="54" t="s">
        <v>17</v>
      </c>
      <c r="B1" s="55"/>
      <c r="C1" s="55"/>
      <c r="D1" s="55"/>
      <c r="E1" s="56"/>
    </row>
    <row r="2" spans="1:5" x14ac:dyDescent="0.35">
      <c r="A2" s="1" t="s">
        <v>7</v>
      </c>
      <c r="B2" s="8" t="s">
        <v>8</v>
      </c>
      <c r="C2" s="9">
        <v>2017</v>
      </c>
      <c r="D2" s="8">
        <v>2018</v>
      </c>
      <c r="E2" s="8">
        <v>2019</v>
      </c>
    </row>
    <row r="3" spans="1:5" x14ac:dyDescent="0.35">
      <c r="A3" s="10" t="s">
        <v>9</v>
      </c>
      <c r="B3" s="11" t="s">
        <v>10</v>
      </c>
      <c r="C3" s="12" t="s">
        <v>10</v>
      </c>
      <c r="D3" s="5">
        <f>1000*3</f>
        <v>3000</v>
      </c>
      <c r="E3" s="11"/>
    </row>
    <row r="4" spans="1:5" x14ac:dyDescent="0.35">
      <c r="A4" s="3" t="s">
        <v>11</v>
      </c>
      <c r="B4" s="11" t="s">
        <v>10</v>
      </c>
      <c r="C4" s="11" t="s">
        <v>10</v>
      </c>
      <c r="D4" s="5" t="s">
        <v>10</v>
      </c>
      <c r="E4" s="11"/>
    </row>
    <row r="5" spans="1:5" x14ac:dyDescent="0.35">
      <c r="A5" s="3" t="s">
        <v>12</v>
      </c>
      <c r="B5" s="11" t="s">
        <v>10</v>
      </c>
      <c r="C5" s="13" t="s">
        <v>10</v>
      </c>
      <c r="D5" s="14" t="s">
        <v>10</v>
      </c>
      <c r="E5" s="11"/>
    </row>
    <row r="6" spans="1:5" ht="15" thickBot="1" x14ac:dyDescent="0.4">
      <c r="A6" s="6" t="s">
        <v>13</v>
      </c>
      <c r="B6" s="15" t="s">
        <v>10</v>
      </c>
      <c r="C6" s="15" t="s">
        <v>10</v>
      </c>
      <c r="D6" s="16" t="s">
        <v>10</v>
      </c>
      <c r="E6" s="15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E91-4A29-43B2-9FE8-40D1CB24B374}">
  <dimension ref="A1:E6"/>
  <sheetViews>
    <sheetView workbookViewId="0">
      <selection sqref="A1:E6"/>
    </sheetView>
  </sheetViews>
  <sheetFormatPr baseColWidth="10" defaultRowHeight="14.5" x14ac:dyDescent="0.35"/>
  <cols>
    <col min="1" max="1" width="32.26953125" bestFit="1" customWidth="1"/>
  </cols>
  <sheetData>
    <row r="1" spans="1:5" ht="15" thickBot="1" x14ac:dyDescent="0.4">
      <c r="A1" s="54" t="s">
        <v>17</v>
      </c>
      <c r="B1" s="55"/>
      <c r="C1" s="55"/>
      <c r="D1" s="55"/>
      <c r="E1" s="56"/>
    </row>
    <row r="2" spans="1:5" x14ac:dyDescent="0.35">
      <c r="A2" s="1" t="s">
        <v>7</v>
      </c>
      <c r="B2" s="8" t="s">
        <v>8</v>
      </c>
      <c r="C2" s="9">
        <v>2017</v>
      </c>
      <c r="D2" s="8">
        <v>2018</v>
      </c>
      <c r="E2" s="8">
        <v>2019</v>
      </c>
    </row>
    <row r="3" spans="1:5" x14ac:dyDescent="0.35">
      <c r="A3" s="3" t="s">
        <v>14</v>
      </c>
      <c r="B3" s="17"/>
      <c r="C3" s="18"/>
      <c r="D3" s="19"/>
      <c r="E3" s="20"/>
    </row>
    <row r="4" spans="1:5" x14ac:dyDescent="0.35">
      <c r="A4" s="3" t="s">
        <v>18</v>
      </c>
      <c r="B4" s="17"/>
      <c r="C4" s="17"/>
      <c r="D4" s="17"/>
      <c r="E4" s="20"/>
    </row>
    <row r="5" spans="1:5" x14ac:dyDescent="0.35">
      <c r="A5" s="3" t="s">
        <v>15</v>
      </c>
      <c r="B5" s="17"/>
      <c r="C5" s="17"/>
      <c r="D5" s="17"/>
      <c r="E5" s="20"/>
    </row>
    <row r="6" spans="1:5" ht="15" thickBot="1" x14ac:dyDescent="0.4">
      <c r="A6" s="6" t="s">
        <v>16</v>
      </c>
      <c r="B6" s="21"/>
      <c r="C6" s="21"/>
      <c r="D6" s="21"/>
      <c r="E6" s="2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BAIL</vt:lpstr>
      <vt:lpstr>indexe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cp:lastPrinted>2022-06-07T08:07:35Z</cp:lastPrinted>
  <dcterms:created xsi:type="dcterms:W3CDTF">2019-06-13T13:54:22Z</dcterms:created>
  <dcterms:modified xsi:type="dcterms:W3CDTF">2025-04-01T09:30:22Z</dcterms:modified>
</cp:coreProperties>
</file>