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 partagés\05 - Finances - comptabilité\61-Baux\03 - BAUX OK\Bail LPC27 Sceaux - SCI LEGRAND\"/>
    </mc:Choice>
  </mc:AlternateContent>
  <xr:revisionPtr revIDLastSave="0" documentId="13_ncr:1_{6BD47BE7-4602-43BA-A4C8-98E4C0109C12}" xr6:coauthVersionLast="47" xr6:coauthVersionMax="47" xr10:uidLastSave="{00000000-0000-0000-0000-000000000000}"/>
  <bookViews>
    <workbookView xWindow="-23148" yWindow="-108" windowWidth="23256" windowHeight="12456" xr2:uid="{B672E749-26E7-4D28-B127-6CE7ED9C01B9}"/>
  </bookViews>
  <sheets>
    <sheet name="BAIL" sheetId="1" r:id="rId1"/>
    <sheet name="CHARGES" sheetId="2" r:id="rId2"/>
    <sheet name="TAXES" sheetId="3" r:id="rId3"/>
  </sheets>
  <definedNames>
    <definedName name="_xlnm.Print_Area" localSheetId="0">BAIL!$A$1:$R$52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3" i="1" l="1"/>
  <c r="B30" i="1"/>
  <c r="D30" i="1" s="1"/>
  <c r="B29" i="1"/>
  <c r="D29" i="1" s="1"/>
  <c r="R14" i="1"/>
  <c r="R15" i="1"/>
  <c r="R16" i="1"/>
  <c r="R17" i="1"/>
  <c r="R18" i="1"/>
  <c r="R19" i="1"/>
  <c r="R20" i="1"/>
  <c r="R21" i="1"/>
  <c r="R22" i="1"/>
  <c r="R23" i="1"/>
  <c r="R24" i="1"/>
  <c r="R25" i="1"/>
  <c r="R27" i="1"/>
  <c r="R28" i="1"/>
  <c r="R13" i="1"/>
  <c r="Q14" i="1"/>
  <c r="Q15" i="1"/>
  <c r="Q16" i="1"/>
  <c r="Q17" i="1"/>
  <c r="Q19" i="1"/>
  <c r="Q20" i="1"/>
  <c r="Q21" i="1"/>
  <c r="Q22" i="1"/>
  <c r="Q23" i="1"/>
  <c r="Q24" i="1"/>
  <c r="Q25" i="1"/>
  <c r="Q26" i="1"/>
  <c r="R26" i="1" s="1"/>
  <c r="Q27" i="1"/>
  <c r="Q28" i="1"/>
  <c r="Q29" i="1"/>
  <c r="Q30" i="1"/>
  <c r="R30" i="1" s="1"/>
  <c r="Q13" i="1"/>
  <c r="F31" i="1"/>
  <c r="N22" i="1"/>
  <c r="P22" i="1" s="1"/>
  <c r="P14" i="1"/>
  <c r="P15" i="1"/>
  <c r="P16" i="1"/>
  <c r="P17" i="1"/>
  <c r="P18" i="1"/>
  <c r="P19" i="1"/>
  <c r="P20" i="1"/>
  <c r="P21" i="1"/>
  <c r="P23" i="1"/>
  <c r="P24" i="1"/>
  <c r="P25" i="1"/>
  <c r="P26" i="1"/>
  <c r="P27" i="1"/>
  <c r="P28" i="1"/>
  <c r="P29" i="1"/>
  <c r="P30" i="1"/>
  <c r="P13" i="1"/>
  <c r="O31" i="1"/>
  <c r="M31" i="1"/>
  <c r="J31" i="1"/>
  <c r="C31" i="1"/>
  <c r="K18" i="1"/>
  <c r="K31" i="1" s="1"/>
  <c r="I18" i="1"/>
  <c r="L17" i="1"/>
  <c r="L16" i="1"/>
  <c r="L15" i="1"/>
  <c r="L14" i="1"/>
  <c r="L13" i="1"/>
  <c r="L30" i="1"/>
  <c r="L29" i="1"/>
  <c r="L28" i="1"/>
  <c r="L27" i="1"/>
  <c r="L26" i="1"/>
  <c r="L25" i="1"/>
  <c r="L24" i="1"/>
  <c r="L23" i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C7" i="1"/>
  <c r="C9" i="1" s="1"/>
  <c r="B16" i="1" s="1"/>
  <c r="D16" i="1" s="1"/>
  <c r="L22" i="1"/>
  <c r="L21" i="1"/>
  <c r="L20" i="1"/>
  <c r="L19" i="1"/>
  <c r="B9" i="1"/>
  <c r="R29" i="1" l="1"/>
  <c r="Q31" i="1"/>
  <c r="R31" i="1"/>
  <c r="E17" i="1"/>
  <c r="E21" i="1"/>
  <c r="E25" i="1"/>
  <c r="Q18" i="1"/>
  <c r="E29" i="1"/>
  <c r="L18" i="1"/>
  <c r="L31" i="1" s="1"/>
  <c r="E13" i="1"/>
  <c r="G13" i="1"/>
  <c r="G14" i="1"/>
  <c r="G15" i="1"/>
  <c r="G16" i="1"/>
  <c r="I31" i="1"/>
  <c r="H31" i="1"/>
  <c r="B15" i="1"/>
  <c r="D15" i="1" s="1"/>
  <c r="B13" i="1"/>
  <c r="B14" i="1"/>
  <c r="D14" i="1" s="1"/>
  <c r="P31" i="1"/>
  <c r="D7" i="1"/>
  <c r="D13" i="1" l="1"/>
  <c r="E7" i="1"/>
  <c r="D9" i="1"/>
  <c r="G20" i="1" l="1"/>
  <c r="G19" i="1"/>
  <c r="G18" i="1"/>
  <c r="B20" i="1"/>
  <c r="D20" i="1" s="1"/>
  <c r="B19" i="1"/>
  <c r="D19" i="1" s="1"/>
  <c r="B18" i="1"/>
  <c r="D18" i="1" s="1"/>
  <c r="B17" i="1"/>
  <c r="E9" i="1"/>
  <c r="F7" i="1"/>
  <c r="G24" i="1" l="1"/>
  <c r="G23" i="1"/>
  <c r="G22" i="1"/>
  <c r="G21" i="1"/>
  <c r="G17" i="1"/>
  <c r="D17" i="1"/>
  <c r="B24" i="1"/>
  <c r="D24" i="1" s="1"/>
  <c r="B23" i="1"/>
  <c r="D23" i="1" s="1"/>
  <c r="B22" i="1"/>
  <c r="D22" i="1" s="1"/>
  <c r="B21" i="1"/>
  <c r="G7" i="1"/>
  <c r="F9" i="1"/>
  <c r="G28" i="1" l="1"/>
  <c r="G27" i="1"/>
  <c r="G26" i="1"/>
  <c r="B27" i="1"/>
  <c r="D27" i="1" s="1"/>
  <c r="B28" i="1"/>
  <c r="D28" i="1" s="1"/>
  <c r="B26" i="1"/>
  <c r="D26" i="1" s="1"/>
  <c r="B25" i="1"/>
  <c r="D25" i="1" s="1"/>
  <c r="D21" i="1"/>
  <c r="D31" i="1" s="1"/>
  <c r="H7" i="1"/>
  <c r="G9" i="1"/>
  <c r="G25" i="1" l="1"/>
  <c r="G30" i="1"/>
  <c r="G29" i="1"/>
  <c r="I7" i="1"/>
  <c r="H9" i="1"/>
  <c r="E31" i="1" l="1"/>
  <c r="G31" i="1"/>
  <c r="B31" i="1"/>
  <c r="J7" i="1"/>
  <c r="I9" i="1"/>
  <c r="K7" i="1" l="1"/>
  <c r="J9" i="1"/>
  <c r="L7" i="1" l="1"/>
  <c r="K9" i="1"/>
  <c r="M7" i="1" l="1"/>
  <c r="M9" i="1" s="1"/>
  <c r="L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Sabine CHARBEL</author>
  </authors>
  <commentList>
    <comment ref="B8" authorId="0" shapeId="0" xr:uid="{CC379BE5-4DCC-49AA-BFA2-B139CACBD99C}">
      <text>
        <r>
          <rPr>
            <b/>
            <sz val="9"/>
            <color indexed="81"/>
            <rFont val="Tahoma"/>
            <family val="2"/>
          </rPr>
          <t>Sabine CHARBEL:</t>
        </r>
        <r>
          <rPr>
            <sz val="9"/>
            <color indexed="81"/>
            <rFont val="Tahoma"/>
            <family val="2"/>
          </rPr>
          <t xml:space="preserve">
Indice IRL</t>
        </r>
      </text>
    </comment>
  </commentList>
</comments>
</file>

<file path=xl/sharedStrings.xml><?xml version="1.0" encoding="utf-8"?>
<sst xmlns="http://schemas.openxmlformats.org/spreadsheetml/2006/main" count="88" uniqueCount="66">
  <si>
    <t>BAILLEUR</t>
  </si>
  <si>
    <t>DATE DU BAIL</t>
  </si>
  <si>
    <t>DUREE</t>
  </si>
  <si>
    <t xml:space="preserve">10 ans </t>
  </si>
  <si>
    <t xml:space="preserve">DEPOT DE GARANTIE </t>
  </si>
  <si>
    <t>LOYER ANNUEL (HORS CHARGES)</t>
  </si>
  <si>
    <t>ANNEES</t>
  </si>
  <si>
    <t>INITIAL</t>
  </si>
  <si>
    <t xml:space="preserve">PROVISIONS POUR CHARGES </t>
  </si>
  <si>
    <t>-</t>
  </si>
  <si>
    <t>FRAIS ASSURANCES</t>
  </si>
  <si>
    <t xml:space="preserve">AUTRES CHARGES </t>
  </si>
  <si>
    <t xml:space="preserve">HONORAIRES </t>
  </si>
  <si>
    <t xml:space="preserve">TAXES FONCIERES </t>
  </si>
  <si>
    <t xml:space="preserve">AUTRES TAXES </t>
  </si>
  <si>
    <t>REGULARISATION TAXE FONCIERE</t>
  </si>
  <si>
    <t>AJUSTEMENT DEPOT DE GARANTIE</t>
  </si>
  <si>
    <t>LPC 27 SCEAUX</t>
  </si>
  <si>
    <t>SCI Legrand</t>
  </si>
  <si>
    <t>LOYER TRIMESTRIEL (HORS CHARGES)</t>
  </si>
  <si>
    <t>LOYER</t>
  </si>
  <si>
    <t>CHARGES</t>
  </si>
  <si>
    <t>PERIODE</t>
  </si>
  <si>
    <t>Montant calculé</t>
  </si>
  <si>
    <t>Montant facturé</t>
  </si>
  <si>
    <t>écart</t>
  </si>
  <si>
    <t>total facturé</t>
  </si>
  <si>
    <t>1TR2020</t>
  </si>
  <si>
    <t>2TR2020</t>
  </si>
  <si>
    <t>3TR2020</t>
  </si>
  <si>
    <t>4TR2020</t>
  </si>
  <si>
    <t>TOTAL</t>
  </si>
  <si>
    <t>PRISE EFFET</t>
  </si>
  <si>
    <t>01/07/2018-30/06/2019</t>
  </si>
  <si>
    <t>01/07/2019-30/06/2020</t>
  </si>
  <si>
    <t>01/07/2020-30/06/2021</t>
  </si>
  <si>
    <t>01/07/2021-30/06/2022</t>
  </si>
  <si>
    <t>01/07/2022-30/06/2023</t>
  </si>
  <si>
    <t>01/07/2023-30/06/2024</t>
  </si>
  <si>
    <t>01/07/2024-30/06/2025</t>
  </si>
  <si>
    <t>01/07/2025-30/06/2026</t>
  </si>
  <si>
    <t>01/07/2026-30/06/2027</t>
  </si>
  <si>
    <t>01/07/2027-30/06/2028</t>
  </si>
  <si>
    <t>01/07/2028-30/06/2029</t>
  </si>
  <si>
    <t>INDICE (INDEXATION DU LOYER) IRL 1TN</t>
  </si>
  <si>
    <t>1TR2021</t>
  </si>
  <si>
    <t>2TR2021</t>
  </si>
  <si>
    <t>3TR2021</t>
  </si>
  <si>
    <t>4TR2021</t>
  </si>
  <si>
    <t>1TR2022</t>
  </si>
  <si>
    <t>2TR2022</t>
  </si>
  <si>
    <t>3TR2022</t>
  </si>
  <si>
    <t>4TR2022</t>
  </si>
  <si>
    <t>3TR2018</t>
  </si>
  <si>
    <t>4TR2018</t>
  </si>
  <si>
    <t>1TR2019</t>
  </si>
  <si>
    <t>2TR2019</t>
  </si>
  <si>
    <t>3TR2019</t>
  </si>
  <si>
    <t>4TR2019</t>
  </si>
  <si>
    <t>TAXE FONCIERES</t>
  </si>
  <si>
    <t>APPEL PROVISION</t>
  </si>
  <si>
    <t>Régul de charges</t>
  </si>
  <si>
    <t>Réprise Provision</t>
  </si>
  <si>
    <t>Appel provision</t>
  </si>
  <si>
    <t>DG</t>
  </si>
  <si>
    <t>écart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</si>
</sst>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_-* #,##0.00\ [$€-40C]_-;\-* #,##0.00\ [$€-40C]_-;_-* &quot;-&quot;??\ [$€-40C]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56">
    <xf numFmtId="0" fontId="0" fillId="0" borderId="0" xfId="0"/>
    <xf numFmtId="0" fontId="2" fillId="2" borderId="3" xfId="0" applyFont="1" applyFill="1" applyBorder="1"/>
    <xf numFmtId="0" fontId="0" fillId="0" borderId="3" xfId="0" applyBorder="1" applyAlignment="1">
      <alignment horizontal="center" vertical="center"/>
    </xf>
    <xf numFmtId="0" fontId="2" fillId="2" borderId="4" xfId="0" applyFont="1" applyFill="1" applyBorder="1"/>
    <xf numFmtId="14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2" fillId="2" borderId="5" xfId="0" applyFont="1" applyFill="1" applyBorder="1"/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2" borderId="10" xfId="0" applyFont="1" applyFill="1" applyBorder="1"/>
    <xf numFmtId="165" fontId="0" fillId="0" borderId="4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4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0" borderId="4" xfId="0" applyNumberFormat="1" applyBorder="1"/>
    <xf numFmtId="164" fontId="0" fillId="0" borderId="4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5" xfId="0" applyNumberFormat="1" applyBorder="1"/>
    <xf numFmtId="0" fontId="2" fillId="2" borderId="13" xfId="0" applyFont="1" applyFill="1" applyBorder="1"/>
    <xf numFmtId="0" fontId="2" fillId="2" borderId="14" xfId="0" applyFont="1" applyFill="1" applyBorder="1"/>
    <xf numFmtId="0" fontId="0" fillId="0" borderId="14" xfId="0" applyBorder="1"/>
    <xf numFmtId="44" fontId="0" fillId="0" borderId="14" xfId="1" applyFont="1" applyBorder="1"/>
    <xf numFmtId="44" fontId="6" fillId="0" borderId="14" xfId="1" applyFont="1" applyBorder="1"/>
    <xf numFmtId="44" fontId="0" fillId="0" borderId="14" xfId="0" applyNumberFormat="1" applyBorder="1"/>
    <xf numFmtId="14" fontId="0" fillId="0" borderId="15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0" borderId="13" xfId="0" applyNumberFormat="1" applyBorder="1" applyAlignment="1">
      <alignment horizontal="center" vertical="center"/>
    </xf>
    <xf numFmtId="164" fontId="0" fillId="0" borderId="14" xfId="1" applyNumberFormat="1" applyFont="1" applyBorder="1"/>
    <xf numFmtId="44" fontId="0" fillId="0" borderId="20" xfId="1" applyFont="1" applyBorder="1"/>
    <xf numFmtId="0" fontId="0" fillId="4" borderId="22" xfId="0" applyFill="1" applyBorder="1"/>
    <xf numFmtId="0" fontId="0" fillId="4" borderId="23" xfId="0" applyFill="1" applyBorder="1"/>
    <xf numFmtId="0" fontId="0" fillId="4" borderId="24" xfId="0" applyFill="1" applyBorder="1"/>
    <xf numFmtId="44" fontId="1" fillId="4" borderId="14" xfId="1" applyFont="1" applyFill="1" applyBorder="1"/>
    <xf numFmtId="44" fontId="7" fillId="4" borderId="14" xfId="1" applyFont="1" applyFill="1" applyBorder="1"/>
    <xf numFmtId="164" fontId="1" fillId="4" borderId="14" xfId="1" applyNumberFormat="1" applyFont="1" applyFill="1" applyBorder="1"/>
    <xf numFmtId="44" fontId="1" fillId="0" borderId="0" xfId="0" applyNumberFormat="1" applyFont="1"/>
    <xf numFmtId="164" fontId="0" fillId="0" borderId="14" xfId="0" applyNumberFormat="1" applyBorder="1"/>
    <xf numFmtId="44" fontId="7" fillId="3" borderId="14" xfId="1" applyFont="1" applyFill="1" applyBorder="1"/>
    <xf numFmtId="44" fontId="0" fillId="0" borderId="0" xfId="0" applyNumberFormat="1"/>
    <xf numFmtId="0" fontId="1" fillId="0" borderId="14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658D-7A98-4DC6-942A-44FDECF27E0F}">
  <sheetPr>
    <pageSetUpPr fitToPage="1"/>
  </sheetPr>
  <dimension ref="A1:R39"/>
  <sheetViews>
    <sheetView tabSelected="1" zoomScale="60" zoomScaleNormal="60" workbookViewId="0">
      <pane xSplit="1" ySplit="12" topLeftCell="B37" activePane="bottomRight" state="frozen"/>
      <selection pane="topRight" activeCell="B1" sqref="B1"/>
      <selection pane="bottomLeft" activeCell="A13" sqref="A13"/>
      <selection pane="bottomRight" activeCell="J39" sqref="J39"/>
    </sheetView>
  </sheetViews>
  <sheetFormatPr baseColWidth="10" defaultRowHeight="14.4" x14ac:dyDescent="0.3"/>
  <cols>
    <col min="1" max="1" width="37.21875" bestFit="1" customWidth="1"/>
    <col min="2" max="2" width="15.21875" bestFit="1" customWidth="1"/>
    <col min="3" max="13" width="21.44140625" bestFit="1" customWidth="1"/>
    <col min="14" max="14" width="12.109375" bestFit="1" customWidth="1"/>
    <col min="15" max="15" width="15.88671875" bestFit="1" customWidth="1"/>
    <col min="16" max="16" width="15.109375" bestFit="1" customWidth="1"/>
    <col min="17" max="17" width="17" bestFit="1" customWidth="1"/>
    <col min="18" max="18" width="15.88671875" bestFit="1" customWidth="1"/>
  </cols>
  <sheetData>
    <row r="1" spans="1:18" ht="15" thickBot="1" x14ac:dyDescent="0.35">
      <c r="A1" s="51" t="s">
        <v>17</v>
      </c>
      <c r="B1" s="52"/>
    </row>
    <row r="2" spans="1:18" x14ac:dyDescent="0.3">
      <c r="A2" s="1" t="s">
        <v>0</v>
      </c>
      <c r="B2" s="2" t="s">
        <v>18</v>
      </c>
    </row>
    <row r="3" spans="1:18" ht="15" thickBot="1" x14ac:dyDescent="0.35">
      <c r="A3" s="3" t="s">
        <v>1</v>
      </c>
      <c r="B3" s="4">
        <v>43214</v>
      </c>
      <c r="I3" s="49">
        <f>+I6-H6</f>
        <v>590.90551800031244</v>
      </c>
    </row>
    <row r="4" spans="1:18" x14ac:dyDescent="0.3">
      <c r="A4" s="3" t="s">
        <v>32</v>
      </c>
      <c r="B4" s="28">
        <v>43282</v>
      </c>
      <c r="C4" s="32" t="s">
        <v>33</v>
      </c>
      <c r="D4" s="33" t="s">
        <v>34</v>
      </c>
      <c r="E4" s="33" t="s">
        <v>35</v>
      </c>
      <c r="F4" s="33" t="s">
        <v>36</v>
      </c>
      <c r="G4" s="33" t="s">
        <v>37</v>
      </c>
      <c r="H4" s="33" t="s">
        <v>38</v>
      </c>
      <c r="I4" s="33" t="s">
        <v>39</v>
      </c>
      <c r="J4" s="33" t="s">
        <v>40</v>
      </c>
      <c r="K4" s="33" t="s">
        <v>41</v>
      </c>
      <c r="L4" s="33" t="s">
        <v>42</v>
      </c>
      <c r="M4" s="34" t="s">
        <v>43</v>
      </c>
    </row>
    <row r="5" spans="1:18" x14ac:dyDescent="0.3">
      <c r="A5" s="3" t="s">
        <v>2</v>
      </c>
      <c r="B5" s="28" t="s">
        <v>3</v>
      </c>
      <c r="C5" s="35"/>
      <c r="D5" s="24"/>
      <c r="E5" s="24"/>
      <c r="F5" s="24"/>
      <c r="G5" s="24"/>
      <c r="H5" s="24"/>
      <c r="I5" s="24"/>
      <c r="J5" s="24"/>
      <c r="K5" s="24"/>
      <c r="L5" s="24"/>
      <c r="M5" s="36"/>
    </row>
    <row r="6" spans="1:18" x14ac:dyDescent="0.3">
      <c r="A6" s="3" t="s">
        <v>4</v>
      </c>
      <c r="B6" s="29">
        <v>15500</v>
      </c>
      <c r="C6" s="39">
        <f>+B6*C8/B8</f>
        <v>15500</v>
      </c>
      <c r="D6" s="39">
        <f t="shared" ref="D6:M6" si="0">+C6*D8/C8</f>
        <v>15763.166168841377</v>
      </c>
      <c r="E6" s="39">
        <f t="shared" si="0"/>
        <v>15908.15123408269</v>
      </c>
      <c r="F6" s="39">
        <f t="shared" si="0"/>
        <v>15922.7715767961</v>
      </c>
      <c r="G6" s="39">
        <f t="shared" si="0"/>
        <v>16317.520830058167</v>
      </c>
      <c r="H6" s="39">
        <f t="shared" si="0"/>
        <v>16887.714195881152</v>
      </c>
      <c r="I6" s="39">
        <f t="shared" si="0"/>
        <v>17478.619713881464</v>
      </c>
      <c r="J6" s="39">
        <f t="shared" si="0"/>
        <v>17723.510454331077</v>
      </c>
      <c r="K6" s="39">
        <f t="shared" si="0"/>
        <v>0</v>
      </c>
      <c r="L6" s="39" t="e">
        <f t="shared" si="0"/>
        <v>#DIV/0!</v>
      </c>
      <c r="M6" s="39" t="e">
        <f t="shared" si="0"/>
        <v>#DIV/0!</v>
      </c>
    </row>
    <row r="7" spans="1:18" x14ac:dyDescent="0.3">
      <c r="A7" s="3" t="s">
        <v>5</v>
      </c>
      <c r="B7" s="29">
        <v>62000</v>
      </c>
      <c r="C7" s="39">
        <f>+B7/B8*C8</f>
        <v>62000</v>
      </c>
      <c r="D7" s="39">
        <f>+C7/C8*D8</f>
        <v>63052.664675365508</v>
      </c>
      <c r="E7" s="39">
        <f t="shared" ref="E7:F7" si="1">+D7/D8*E8</f>
        <v>63632.604936330761</v>
      </c>
      <c r="F7" s="39">
        <f t="shared" si="1"/>
        <v>63691.086307184407</v>
      </c>
      <c r="G7" s="39">
        <f>+IFERROR(F7/F8*G8,0)</f>
        <v>65270.083320232676</v>
      </c>
      <c r="H7" s="39">
        <f t="shared" ref="H7:L7" si="2">+IFERROR(G7/G8*H8,0)</f>
        <v>67550.856783524607</v>
      </c>
      <c r="I7" s="39">
        <f t="shared" si="2"/>
        <v>69914.478855525856</v>
      </c>
      <c r="J7" s="39">
        <f t="shared" si="2"/>
        <v>70894.041817324309</v>
      </c>
      <c r="K7" s="39">
        <f t="shared" si="2"/>
        <v>0</v>
      </c>
      <c r="L7" s="39">
        <f t="shared" si="2"/>
        <v>0</v>
      </c>
      <c r="M7" s="39">
        <f>+IFERROR(L7/L8*M8,0)</f>
        <v>0</v>
      </c>
    </row>
    <row r="8" spans="1:18" ht="15" thickBot="1" x14ac:dyDescent="0.35">
      <c r="A8" s="6" t="s">
        <v>44</v>
      </c>
      <c r="B8" s="30">
        <v>127.22</v>
      </c>
      <c r="C8" s="40">
        <v>127.22</v>
      </c>
      <c r="D8" s="41">
        <v>129.38</v>
      </c>
      <c r="E8" s="41">
        <v>130.57</v>
      </c>
      <c r="F8" s="41">
        <v>130.69</v>
      </c>
      <c r="G8" s="41">
        <v>133.93</v>
      </c>
      <c r="H8" s="41">
        <v>138.61000000000001</v>
      </c>
      <c r="I8" s="41">
        <v>143.46</v>
      </c>
      <c r="J8" s="41">
        <v>145.47</v>
      </c>
      <c r="K8" s="41"/>
      <c r="L8" s="41"/>
      <c r="M8" s="42"/>
    </row>
    <row r="9" spans="1:18" ht="15" thickBot="1" x14ac:dyDescent="0.35">
      <c r="A9" s="22" t="s">
        <v>19</v>
      </c>
      <c r="B9" s="31">
        <f>+B7/4</f>
        <v>15500</v>
      </c>
      <c r="C9" s="37">
        <f t="shared" ref="C9:M9" si="3">+C7/4</f>
        <v>15500</v>
      </c>
      <c r="D9" s="37">
        <f t="shared" si="3"/>
        <v>15763.166168841377</v>
      </c>
      <c r="E9" s="37">
        <f t="shared" si="3"/>
        <v>15908.15123408269</v>
      </c>
      <c r="F9" s="37">
        <f t="shared" si="3"/>
        <v>15922.771576796102</v>
      </c>
      <c r="G9" s="37">
        <f t="shared" si="3"/>
        <v>16317.520830058169</v>
      </c>
      <c r="H9" s="37">
        <f t="shared" si="3"/>
        <v>16887.714195881152</v>
      </c>
      <c r="I9" s="37">
        <f t="shared" si="3"/>
        <v>17478.619713881464</v>
      </c>
      <c r="J9" s="37">
        <f t="shared" si="3"/>
        <v>17723.510454331077</v>
      </c>
      <c r="K9" s="37">
        <f t="shared" si="3"/>
        <v>0</v>
      </c>
      <c r="L9" s="37">
        <f t="shared" si="3"/>
        <v>0</v>
      </c>
      <c r="M9" s="37">
        <f t="shared" si="3"/>
        <v>0</v>
      </c>
    </row>
    <row r="11" spans="1:18" x14ac:dyDescent="0.3">
      <c r="B11" s="50" t="s">
        <v>20</v>
      </c>
      <c r="C11" s="50"/>
      <c r="D11" s="50"/>
      <c r="E11" s="50" t="s">
        <v>64</v>
      </c>
      <c r="F11" s="50"/>
      <c r="G11" s="50"/>
      <c r="H11" s="50" t="s">
        <v>21</v>
      </c>
      <c r="I11" s="50"/>
      <c r="J11" s="50"/>
      <c r="K11" s="50"/>
      <c r="L11" s="50"/>
      <c r="M11" s="50" t="s">
        <v>59</v>
      </c>
      <c r="N11" s="50"/>
      <c r="O11" s="50"/>
      <c r="P11" s="50"/>
    </row>
    <row r="12" spans="1:18" x14ac:dyDescent="0.3">
      <c r="A12" s="23" t="s">
        <v>22</v>
      </c>
      <c r="B12" s="24" t="s">
        <v>23</v>
      </c>
      <c r="C12" s="24" t="s">
        <v>24</v>
      </c>
      <c r="D12" s="24" t="s">
        <v>25</v>
      </c>
      <c r="E12" s="24" t="s">
        <v>23</v>
      </c>
      <c r="F12" s="24" t="s">
        <v>24</v>
      </c>
      <c r="G12" s="24" t="s">
        <v>25</v>
      </c>
      <c r="H12" s="24" t="s">
        <v>60</v>
      </c>
      <c r="I12" s="24" t="s">
        <v>62</v>
      </c>
      <c r="J12" s="24" t="s">
        <v>61</v>
      </c>
      <c r="K12" s="24" t="s">
        <v>24</v>
      </c>
      <c r="L12" s="24" t="s">
        <v>25</v>
      </c>
      <c r="M12" s="24" t="s">
        <v>23</v>
      </c>
      <c r="N12" s="24" t="s">
        <v>63</v>
      </c>
      <c r="O12" s="24" t="s">
        <v>24</v>
      </c>
      <c r="P12" s="24" t="s">
        <v>25</v>
      </c>
      <c r="Q12" s="24" t="s">
        <v>26</v>
      </c>
      <c r="R12" s="24" t="s">
        <v>65</v>
      </c>
    </row>
    <row r="13" spans="1:18" x14ac:dyDescent="0.3">
      <c r="A13" s="24" t="s">
        <v>53</v>
      </c>
      <c r="B13" s="38">
        <f>+$C$9</f>
        <v>15500</v>
      </c>
      <c r="C13" s="25">
        <v>15500</v>
      </c>
      <c r="D13" s="26">
        <f t="shared" ref="D13:D14" si="4">+B13-C13</f>
        <v>0</v>
      </c>
      <c r="E13" s="38">
        <f>+$C$9</f>
        <v>15500</v>
      </c>
      <c r="F13" s="25">
        <v>15500</v>
      </c>
      <c r="G13" s="26">
        <f t="shared" ref="G13:G14" si="5">+E13-F13</f>
        <v>0</v>
      </c>
      <c r="H13" s="25"/>
      <c r="I13" s="25"/>
      <c r="J13" s="25"/>
      <c r="K13" s="25"/>
      <c r="L13" s="26">
        <f>+H13+J13-K13</f>
        <v>0</v>
      </c>
      <c r="M13" s="25"/>
      <c r="N13" s="25"/>
      <c r="O13" s="25"/>
      <c r="P13" s="26">
        <f>+M13+N13-O13</f>
        <v>0</v>
      </c>
      <c r="Q13" s="27">
        <f>+C13+K13+O13+F13</f>
        <v>31000</v>
      </c>
      <c r="R13" s="47">
        <f>+B13+E13+H13+I13+J13+M13+N13-Q13</f>
        <v>0</v>
      </c>
    </row>
    <row r="14" spans="1:18" x14ac:dyDescent="0.3">
      <c r="A14" s="24" t="s">
        <v>54</v>
      </c>
      <c r="B14" s="38">
        <f>+$C$9</f>
        <v>15500</v>
      </c>
      <c r="C14" s="25">
        <v>15500</v>
      </c>
      <c r="D14" s="26">
        <f t="shared" si="4"/>
        <v>0</v>
      </c>
      <c r="E14" s="38"/>
      <c r="F14" s="25"/>
      <c r="G14" s="26">
        <f t="shared" si="5"/>
        <v>0</v>
      </c>
      <c r="H14" s="25"/>
      <c r="I14" s="25"/>
      <c r="J14" s="25"/>
      <c r="K14" s="25"/>
      <c r="L14" s="26">
        <f>+H14+J14-K14</f>
        <v>0</v>
      </c>
      <c r="M14" s="25">
        <v>2389.1999999999998</v>
      </c>
      <c r="N14" s="25"/>
      <c r="O14" s="25">
        <v>2389.1999999999998</v>
      </c>
      <c r="P14" s="26">
        <f t="shared" ref="P14:P30" si="6">+M14+N14-O14</f>
        <v>0</v>
      </c>
      <c r="Q14" s="27">
        <f t="shared" ref="Q14:Q30" si="7">+C14+K14+O14+F14</f>
        <v>17889.2</v>
      </c>
      <c r="R14" s="47">
        <f t="shared" ref="R14:R30" si="8">+B14+E14+H14+I14+J14+M14+N14-Q14</f>
        <v>0</v>
      </c>
    </row>
    <row r="15" spans="1:18" x14ac:dyDescent="0.3">
      <c r="A15" s="24" t="s">
        <v>55</v>
      </c>
      <c r="B15" s="38">
        <f>+$C$9</f>
        <v>15500</v>
      </c>
      <c r="C15" s="25">
        <v>15500</v>
      </c>
      <c r="D15" s="26">
        <f>+B15-C15</f>
        <v>0</v>
      </c>
      <c r="E15" s="38"/>
      <c r="F15" s="25"/>
      <c r="G15" s="26">
        <f>+E15-F15</f>
        <v>0</v>
      </c>
      <c r="H15" s="25">
        <v>2500</v>
      </c>
      <c r="I15" s="25"/>
      <c r="J15" s="25"/>
      <c r="K15" s="25">
        <v>2500</v>
      </c>
      <c r="L15" s="26">
        <f>+H15+J15-K15</f>
        <v>0</v>
      </c>
      <c r="M15" s="25"/>
      <c r="N15" s="25"/>
      <c r="O15" s="25"/>
      <c r="P15" s="26">
        <f t="shared" si="6"/>
        <v>0</v>
      </c>
      <c r="Q15" s="27">
        <f t="shared" si="7"/>
        <v>18000</v>
      </c>
      <c r="R15" s="47">
        <f t="shared" si="8"/>
        <v>0</v>
      </c>
    </row>
    <row r="16" spans="1:18" x14ac:dyDescent="0.3">
      <c r="A16" s="24" t="s">
        <v>56</v>
      </c>
      <c r="B16" s="38">
        <f>+$C$9</f>
        <v>15500</v>
      </c>
      <c r="C16" s="25">
        <v>15500</v>
      </c>
      <c r="D16" s="26">
        <f t="shared" ref="D16:D18" si="9">+B16-C16</f>
        <v>0</v>
      </c>
      <c r="E16" s="38"/>
      <c r="F16" s="25"/>
      <c r="G16" s="26">
        <f t="shared" ref="G16:G18" si="10">+E16-F16</f>
        <v>0</v>
      </c>
      <c r="H16" s="25">
        <v>2500</v>
      </c>
      <c r="I16" s="25"/>
      <c r="J16" s="25"/>
      <c r="K16" s="25">
        <v>2500</v>
      </c>
      <c r="L16" s="26">
        <f>+H16+J16-K16</f>
        <v>0</v>
      </c>
      <c r="M16" s="25"/>
      <c r="N16" s="25"/>
      <c r="O16" s="25"/>
      <c r="P16" s="26">
        <f t="shared" si="6"/>
        <v>0</v>
      </c>
      <c r="Q16" s="27">
        <f t="shared" si="7"/>
        <v>18000</v>
      </c>
      <c r="R16" s="47">
        <f t="shared" si="8"/>
        <v>0</v>
      </c>
    </row>
    <row r="17" spans="1:18" x14ac:dyDescent="0.3">
      <c r="A17" s="24" t="s">
        <v>57</v>
      </c>
      <c r="B17" s="38">
        <f>+$D$9</f>
        <v>15763.166168841377</v>
      </c>
      <c r="C17" s="25">
        <v>15500</v>
      </c>
      <c r="D17" s="26">
        <f t="shared" si="9"/>
        <v>263.16616884137693</v>
      </c>
      <c r="E17" s="38">
        <f>+$D$6-$C$6</f>
        <v>263.16616884137693</v>
      </c>
      <c r="F17" s="25"/>
      <c r="G17" s="26">
        <f t="shared" si="10"/>
        <v>263.16616884137693</v>
      </c>
      <c r="H17" s="25">
        <v>2500</v>
      </c>
      <c r="I17" s="25"/>
      <c r="J17" s="25"/>
      <c r="K17" s="25">
        <v>2500</v>
      </c>
      <c r="L17" s="26">
        <f>+H17+J17-K17</f>
        <v>0</v>
      </c>
      <c r="M17" s="25"/>
      <c r="N17" s="25"/>
      <c r="O17" s="25"/>
      <c r="P17" s="26">
        <f t="shared" si="6"/>
        <v>0</v>
      </c>
      <c r="Q17" s="27">
        <f t="shared" si="7"/>
        <v>18000</v>
      </c>
      <c r="R17" s="47">
        <f t="shared" si="8"/>
        <v>526.33233768275386</v>
      </c>
    </row>
    <row r="18" spans="1:18" x14ac:dyDescent="0.3">
      <c r="A18" s="24" t="s">
        <v>58</v>
      </c>
      <c r="B18" s="38">
        <f>+$D$9</f>
        <v>15763.166168841377</v>
      </c>
      <c r="C18" s="25">
        <v>15500</v>
      </c>
      <c r="D18" s="26">
        <f t="shared" si="9"/>
        <v>263.16616884137693</v>
      </c>
      <c r="E18" s="38"/>
      <c r="F18" s="25"/>
      <c r="G18" s="26">
        <f t="shared" si="10"/>
        <v>0</v>
      </c>
      <c r="H18" s="25">
        <v>2500</v>
      </c>
      <c r="I18" s="25">
        <f>-SUM(H15:H18)</f>
        <v>-10000</v>
      </c>
      <c r="J18" s="25">
        <v>10077.02</v>
      </c>
      <c r="K18" s="25">
        <f>77.02+2500</f>
        <v>2577.02</v>
      </c>
      <c r="L18" s="26">
        <f>+H18+J18+I18-K18</f>
        <v>0</v>
      </c>
      <c r="M18" s="25">
        <v>5101</v>
      </c>
      <c r="N18" s="25"/>
      <c r="O18" s="25">
        <v>5101</v>
      </c>
      <c r="P18" s="26">
        <f t="shared" si="6"/>
        <v>0</v>
      </c>
      <c r="Q18" s="27">
        <f t="shared" si="7"/>
        <v>23178.02</v>
      </c>
      <c r="R18" s="47">
        <f t="shared" si="8"/>
        <v>263.16616884137693</v>
      </c>
    </row>
    <row r="19" spans="1:18" x14ac:dyDescent="0.3">
      <c r="A19" s="24" t="s">
        <v>27</v>
      </c>
      <c r="B19" s="38">
        <f>+$D$9</f>
        <v>15763.166168841377</v>
      </c>
      <c r="C19" s="25">
        <v>15500</v>
      </c>
      <c r="D19" s="26">
        <f>+B19-C19</f>
        <v>263.16616884137693</v>
      </c>
      <c r="E19" s="38"/>
      <c r="F19" s="25"/>
      <c r="G19" s="26">
        <f>+E19-F19</f>
        <v>0</v>
      </c>
      <c r="H19" s="25">
        <v>2500</v>
      </c>
      <c r="I19" s="25"/>
      <c r="J19" s="25"/>
      <c r="K19" s="25">
        <v>2500</v>
      </c>
      <c r="L19" s="26">
        <f t="shared" ref="L19:L30" si="11">+H19+J19-K19</f>
        <v>0</v>
      </c>
      <c r="M19" s="25"/>
      <c r="N19" s="25">
        <v>1250</v>
      </c>
      <c r="O19" s="25">
        <v>1250</v>
      </c>
      <c r="P19" s="26">
        <f t="shared" si="6"/>
        <v>0</v>
      </c>
      <c r="Q19" s="27">
        <f t="shared" si="7"/>
        <v>19250</v>
      </c>
      <c r="R19" s="47">
        <f t="shared" si="8"/>
        <v>263.16616884137693</v>
      </c>
    </row>
    <row r="20" spans="1:18" x14ac:dyDescent="0.3">
      <c r="A20" s="24" t="s">
        <v>28</v>
      </c>
      <c r="B20" s="38">
        <f>+$D$9</f>
        <v>15763.166168841377</v>
      </c>
      <c r="C20" s="25">
        <v>15500</v>
      </c>
      <c r="D20" s="26">
        <f t="shared" ref="D20:D22" si="12">+B20-C20</f>
        <v>263.16616884137693</v>
      </c>
      <c r="E20" s="38"/>
      <c r="F20" s="25"/>
      <c r="G20" s="26">
        <f t="shared" ref="G20:G22" si="13">+E20-F20</f>
        <v>0</v>
      </c>
      <c r="H20" s="25">
        <v>2500</v>
      </c>
      <c r="I20" s="25"/>
      <c r="J20" s="25"/>
      <c r="K20" s="25">
        <v>2500</v>
      </c>
      <c r="L20" s="26">
        <f t="shared" si="11"/>
        <v>0</v>
      </c>
      <c r="M20" s="25"/>
      <c r="N20" s="25">
        <v>1250</v>
      </c>
      <c r="O20" s="25">
        <v>1250</v>
      </c>
      <c r="P20" s="26">
        <f t="shared" si="6"/>
        <v>0</v>
      </c>
      <c r="Q20" s="27">
        <f t="shared" si="7"/>
        <v>19250</v>
      </c>
      <c r="R20" s="47">
        <f t="shared" si="8"/>
        <v>263.16616884137693</v>
      </c>
    </row>
    <row r="21" spans="1:18" x14ac:dyDescent="0.3">
      <c r="A21" s="24" t="s">
        <v>29</v>
      </c>
      <c r="B21" s="38">
        <f>+$E$9</f>
        <v>15908.15123408269</v>
      </c>
      <c r="C21" s="25">
        <v>15500</v>
      </c>
      <c r="D21" s="26">
        <f t="shared" si="12"/>
        <v>408.15123408269028</v>
      </c>
      <c r="E21" s="38">
        <f>+$E$6-$D$6</f>
        <v>144.98506524131335</v>
      </c>
      <c r="F21" s="25"/>
      <c r="G21" s="26">
        <f t="shared" si="13"/>
        <v>144.98506524131335</v>
      </c>
      <c r="H21" s="25">
        <v>2500</v>
      </c>
      <c r="I21" s="25"/>
      <c r="J21" s="25"/>
      <c r="K21" s="25">
        <v>2500</v>
      </c>
      <c r="L21" s="26">
        <f t="shared" si="11"/>
        <v>0</v>
      </c>
      <c r="M21" s="25"/>
      <c r="N21" s="25">
        <v>1250</v>
      </c>
      <c r="O21" s="25">
        <v>1250</v>
      </c>
      <c r="P21" s="26">
        <f t="shared" si="6"/>
        <v>0</v>
      </c>
      <c r="Q21" s="27">
        <f t="shared" si="7"/>
        <v>19250</v>
      </c>
      <c r="R21" s="47">
        <f t="shared" si="8"/>
        <v>553.13629932400363</v>
      </c>
    </row>
    <row r="22" spans="1:18" x14ac:dyDescent="0.3">
      <c r="A22" s="24" t="s">
        <v>30</v>
      </c>
      <c r="B22" s="38">
        <f>+$E$9</f>
        <v>15908.15123408269</v>
      </c>
      <c r="C22" s="25">
        <v>15500</v>
      </c>
      <c r="D22" s="26">
        <f t="shared" si="12"/>
        <v>408.15123408269028</v>
      </c>
      <c r="E22" s="38"/>
      <c r="F22" s="25"/>
      <c r="G22" s="26">
        <f t="shared" si="13"/>
        <v>0</v>
      </c>
      <c r="H22" s="25">
        <v>2500</v>
      </c>
      <c r="I22" s="25"/>
      <c r="J22" s="25"/>
      <c r="K22" s="25">
        <v>2500</v>
      </c>
      <c r="L22" s="26">
        <f t="shared" si="11"/>
        <v>0</v>
      </c>
      <c r="M22" s="25">
        <v>5092</v>
      </c>
      <c r="N22" s="25">
        <f>-N19-N20-N21</f>
        <v>-3750</v>
      </c>
      <c r="O22" s="25">
        <v>1342</v>
      </c>
      <c r="P22" s="26">
        <f t="shared" si="6"/>
        <v>0</v>
      </c>
      <c r="Q22" s="27">
        <f t="shared" si="7"/>
        <v>19342</v>
      </c>
      <c r="R22" s="47">
        <f t="shared" si="8"/>
        <v>408.15123408268846</v>
      </c>
    </row>
    <row r="23" spans="1:18" x14ac:dyDescent="0.3">
      <c r="A23" s="24" t="s">
        <v>45</v>
      </c>
      <c r="B23" s="38">
        <f>+$E$9</f>
        <v>15908.15123408269</v>
      </c>
      <c r="C23" s="25">
        <v>15500</v>
      </c>
      <c r="D23" s="26">
        <f>+B23-C23</f>
        <v>408.15123408269028</v>
      </c>
      <c r="E23" s="38"/>
      <c r="F23" s="25"/>
      <c r="G23" s="26">
        <f>+E23-F23</f>
        <v>0</v>
      </c>
      <c r="H23" s="25">
        <v>2500</v>
      </c>
      <c r="I23" s="25"/>
      <c r="J23" s="25"/>
      <c r="K23" s="25">
        <v>2500</v>
      </c>
      <c r="L23" s="26">
        <f t="shared" si="11"/>
        <v>0</v>
      </c>
      <c r="M23" s="25"/>
      <c r="N23" s="25"/>
      <c r="O23" s="25"/>
      <c r="P23" s="26">
        <f t="shared" si="6"/>
        <v>0</v>
      </c>
      <c r="Q23" s="27">
        <f t="shared" si="7"/>
        <v>18000</v>
      </c>
      <c r="R23" s="47">
        <f t="shared" si="8"/>
        <v>408.15123408268846</v>
      </c>
    </row>
    <row r="24" spans="1:18" x14ac:dyDescent="0.3">
      <c r="A24" s="24" t="s">
        <v>46</v>
      </c>
      <c r="B24" s="38">
        <f>+$E$9</f>
        <v>15908.15123408269</v>
      </c>
      <c r="C24" s="25">
        <v>15500</v>
      </c>
      <c r="D24" s="26">
        <f t="shared" ref="D24:D26" si="14">+B24-C24</f>
        <v>408.15123408269028</v>
      </c>
      <c r="E24" s="38"/>
      <c r="F24" s="25"/>
      <c r="G24" s="26">
        <f t="shared" ref="G24:G26" si="15">+E24-F24</f>
        <v>0</v>
      </c>
      <c r="H24" s="25">
        <v>2500</v>
      </c>
      <c r="I24" s="25"/>
      <c r="J24" s="25"/>
      <c r="K24" s="25">
        <v>2500</v>
      </c>
      <c r="L24" s="26">
        <f t="shared" si="11"/>
        <v>0</v>
      </c>
      <c r="M24" s="25"/>
      <c r="N24" s="25"/>
      <c r="O24" s="25"/>
      <c r="P24" s="26">
        <f t="shared" si="6"/>
        <v>0</v>
      </c>
      <c r="Q24" s="27">
        <f t="shared" si="7"/>
        <v>18000</v>
      </c>
      <c r="R24" s="47">
        <f t="shared" si="8"/>
        <v>408.15123408268846</v>
      </c>
    </row>
    <row r="25" spans="1:18" x14ac:dyDescent="0.3">
      <c r="A25" s="24" t="s">
        <v>47</v>
      </c>
      <c r="B25" s="38">
        <f>+$F$9</f>
        <v>15922.771576796102</v>
      </c>
      <c r="C25" s="25">
        <v>15500</v>
      </c>
      <c r="D25" s="26">
        <f t="shared" si="14"/>
        <v>422.77157679610173</v>
      </c>
      <c r="E25" s="38">
        <f>+$F$6-$E$6</f>
        <v>14.620342713409627</v>
      </c>
      <c r="F25" s="25"/>
      <c r="G25" s="26">
        <f t="shared" si="15"/>
        <v>14.620342713409627</v>
      </c>
      <c r="H25" s="25">
        <v>2500</v>
      </c>
      <c r="I25" s="25"/>
      <c r="J25" s="25"/>
      <c r="K25" s="25">
        <v>2500</v>
      </c>
      <c r="L25" s="26">
        <f t="shared" si="11"/>
        <v>0</v>
      </c>
      <c r="M25" s="25"/>
      <c r="N25" s="25"/>
      <c r="O25" s="25"/>
      <c r="P25" s="26">
        <f t="shared" si="6"/>
        <v>0</v>
      </c>
      <c r="Q25" s="27">
        <f t="shared" si="7"/>
        <v>18000</v>
      </c>
      <c r="R25" s="47">
        <f t="shared" si="8"/>
        <v>437.39191950951135</v>
      </c>
    </row>
    <row r="26" spans="1:18" x14ac:dyDescent="0.3">
      <c r="A26" s="24" t="s">
        <v>48</v>
      </c>
      <c r="B26" s="38">
        <f>+$F$9</f>
        <v>15922.771576796102</v>
      </c>
      <c r="C26" s="25">
        <v>15514.25</v>
      </c>
      <c r="D26" s="26">
        <f t="shared" si="14"/>
        <v>408.52157679610173</v>
      </c>
      <c r="E26" s="38"/>
      <c r="F26" s="25"/>
      <c r="G26" s="26">
        <f t="shared" si="15"/>
        <v>0</v>
      </c>
      <c r="H26" s="25">
        <v>2500</v>
      </c>
      <c r="I26" s="25"/>
      <c r="J26" s="25"/>
      <c r="K26" s="25">
        <v>2500</v>
      </c>
      <c r="L26" s="26">
        <f t="shared" si="11"/>
        <v>0</v>
      </c>
      <c r="M26" s="25">
        <v>5344</v>
      </c>
      <c r="N26" s="25"/>
      <c r="O26" s="25">
        <v>5344</v>
      </c>
      <c r="P26" s="26">
        <f t="shared" si="6"/>
        <v>0</v>
      </c>
      <c r="Q26" s="27">
        <f t="shared" si="7"/>
        <v>23358.25</v>
      </c>
      <c r="R26" s="47">
        <f t="shared" si="8"/>
        <v>408.52157679610173</v>
      </c>
    </row>
    <row r="27" spans="1:18" x14ac:dyDescent="0.3">
      <c r="A27" s="24" t="s">
        <v>49</v>
      </c>
      <c r="B27" s="38">
        <f>+$F$9</f>
        <v>15922.771576796102</v>
      </c>
      <c r="C27" s="25">
        <v>15514.25</v>
      </c>
      <c r="D27" s="26">
        <f>+B27-C27</f>
        <v>408.52157679610173</v>
      </c>
      <c r="E27" s="38"/>
      <c r="F27" s="25"/>
      <c r="G27" s="26">
        <f>+E27-F27</f>
        <v>0</v>
      </c>
      <c r="H27" s="25">
        <v>2500</v>
      </c>
      <c r="I27" s="25"/>
      <c r="J27" s="25"/>
      <c r="K27" s="25">
        <v>2500</v>
      </c>
      <c r="L27" s="26">
        <f t="shared" si="11"/>
        <v>0</v>
      </c>
      <c r="M27" s="25"/>
      <c r="N27" s="25"/>
      <c r="O27" s="25"/>
      <c r="P27" s="26">
        <f t="shared" si="6"/>
        <v>0</v>
      </c>
      <c r="Q27" s="27">
        <f t="shared" si="7"/>
        <v>18014.25</v>
      </c>
      <c r="R27" s="47">
        <f t="shared" si="8"/>
        <v>408.52157679610173</v>
      </c>
    </row>
    <row r="28" spans="1:18" x14ac:dyDescent="0.3">
      <c r="A28" s="24" t="s">
        <v>50</v>
      </c>
      <c r="B28" s="38">
        <f>+$F$9</f>
        <v>15922.771576796102</v>
      </c>
      <c r="C28" s="25">
        <v>15514.25</v>
      </c>
      <c r="D28" s="26">
        <f t="shared" ref="D28:D30" si="16">+B28-C28</f>
        <v>408.52157679610173</v>
      </c>
      <c r="E28" s="38"/>
      <c r="F28" s="25"/>
      <c r="G28" s="26">
        <f t="shared" ref="G28:G30" si="17">+E28-F28</f>
        <v>0</v>
      </c>
      <c r="H28" s="25">
        <v>2500</v>
      </c>
      <c r="I28" s="25"/>
      <c r="J28" s="25"/>
      <c r="K28" s="25">
        <v>2500</v>
      </c>
      <c r="L28" s="26">
        <f t="shared" si="11"/>
        <v>0</v>
      </c>
      <c r="M28" s="25"/>
      <c r="N28" s="25"/>
      <c r="O28" s="25"/>
      <c r="P28" s="26">
        <f t="shared" si="6"/>
        <v>0</v>
      </c>
      <c r="Q28" s="27">
        <f t="shared" si="7"/>
        <v>18014.25</v>
      </c>
      <c r="R28" s="47">
        <f t="shared" si="8"/>
        <v>408.52157679610173</v>
      </c>
    </row>
    <row r="29" spans="1:18" x14ac:dyDescent="0.3">
      <c r="A29" s="24" t="s">
        <v>51</v>
      </c>
      <c r="B29" s="38">
        <f>+G9</f>
        <v>16317.520830058169</v>
      </c>
      <c r="C29" s="25">
        <v>16317.52</v>
      </c>
      <c r="D29" s="26">
        <f t="shared" si="16"/>
        <v>8.3005816850345582E-4</v>
      </c>
      <c r="E29" s="38">
        <f>+$G$6-$F$6</f>
        <v>394.74925326206721</v>
      </c>
      <c r="F29" s="25"/>
      <c r="G29" s="26">
        <f t="shared" si="17"/>
        <v>394.74925326206721</v>
      </c>
      <c r="H29" s="25">
        <v>2500</v>
      </c>
      <c r="I29" s="25"/>
      <c r="J29" s="25"/>
      <c r="K29" s="25">
        <v>2500</v>
      </c>
      <c r="L29" s="26">
        <f t="shared" si="11"/>
        <v>0</v>
      </c>
      <c r="M29" s="25"/>
      <c r="N29" s="25"/>
      <c r="O29" s="25"/>
      <c r="P29" s="26">
        <f t="shared" si="6"/>
        <v>0</v>
      </c>
      <c r="Q29" s="27">
        <f t="shared" si="7"/>
        <v>18817.52</v>
      </c>
      <c r="R29" s="47">
        <f t="shared" si="8"/>
        <v>394.75008332023572</v>
      </c>
    </row>
    <row r="30" spans="1:18" x14ac:dyDescent="0.3">
      <c r="A30" s="24" t="s">
        <v>52</v>
      </c>
      <c r="B30" s="38">
        <f>+B29</f>
        <v>16317.520830058169</v>
      </c>
      <c r="C30" s="25">
        <v>16317.52</v>
      </c>
      <c r="D30" s="26">
        <f t="shared" si="16"/>
        <v>8.3005816850345582E-4</v>
      </c>
      <c r="E30" s="38"/>
      <c r="F30" s="25"/>
      <c r="G30" s="26">
        <f t="shared" si="17"/>
        <v>0</v>
      </c>
      <c r="H30" s="25">
        <v>2500</v>
      </c>
      <c r="I30" s="25"/>
      <c r="J30" s="25"/>
      <c r="K30" s="25">
        <v>2500</v>
      </c>
      <c r="L30" s="26">
        <f t="shared" si="11"/>
        <v>0</v>
      </c>
      <c r="M30" s="25">
        <v>5385</v>
      </c>
      <c r="N30" s="25"/>
      <c r="O30" s="25">
        <v>5385</v>
      </c>
      <c r="P30" s="26">
        <f t="shared" si="6"/>
        <v>0</v>
      </c>
      <c r="Q30" s="27">
        <f t="shared" si="7"/>
        <v>24202.52</v>
      </c>
      <c r="R30" s="47">
        <f t="shared" si="8"/>
        <v>8.3005816850345582E-4</v>
      </c>
    </row>
    <row r="31" spans="1:18" x14ac:dyDescent="0.3">
      <c r="A31" s="24" t="s">
        <v>31</v>
      </c>
      <c r="B31" s="45">
        <f>SUM(B13:B30)</f>
        <v>285011.39757899701</v>
      </c>
      <c r="C31" s="45">
        <f>SUM(C13:C30)</f>
        <v>280677.79000000004</v>
      </c>
      <c r="D31" s="44">
        <f>SUM(D13:D30)</f>
        <v>4333.6075789970128</v>
      </c>
      <c r="E31" s="45">
        <f>SUM(E13:E30)</f>
        <v>16317.520830058167</v>
      </c>
      <c r="F31" s="45">
        <f>SUM(F13:F30)</f>
        <v>15500</v>
      </c>
      <c r="G31" s="44">
        <f t="shared" ref="G31" si="18">SUM(G13:G30)</f>
        <v>817.52083005816712</v>
      </c>
      <c r="H31" s="43">
        <f t="shared" ref="H31:R31" si="19">SUM(H13:H30)</f>
        <v>40000</v>
      </c>
      <c r="I31" s="43">
        <f t="shared" si="19"/>
        <v>-10000</v>
      </c>
      <c r="J31" s="43">
        <f t="shared" si="19"/>
        <v>10077.02</v>
      </c>
      <c r="K31" s="43">
        <f t="shared" si="19"/>
        <v>40077.020000000004</v>
      </c>
      <c r="L31" s="44">
        <f t="shared" si="19"/>
        <v>0</v>
      </c>
      <c r="M31" s="43">
        <f t="shared" si="19"/>
        <v>23311.200000000001</v>
      </c>
      <c r="N31" s="43"/>
      <c r="O31" s="43">
        <f t="shared" si="19"/>
        <v>23311.200000000001</v>
      </c>
      <c r="P31" s="44">
        <f t="shared" si="19"/>
        <v>0</v>
      </c>
      <c r="Q31" s="43">
        <f t="shared" si="19"/>
        <v>359566.01</v>
      </c>
      <c r="R31" s="48">
        <f t="shared" si="19"/>
        <v>5151.1284090551744</v>
      </c>
    </row>
    <row r="33" spans="4:16" x14ac:dyDescent="0.3">
      <c r="D33" s="46"/>
      <c r="G33" s="46"/>
      <c r="L33" s="46"/>
      <c r="P33" s="46"/>
    </row>
    <row r="39" spans="4:16" x14ac:dyDescent="0.3">
      <c r="J39" s="49"/>
    </row>
  </sheetData>
  <mergeCells count="5">
    <mergeCell ref="H11:L11"/>
    <mergeCell ref="M11:P11"/>
    <mergeCell ref="E11:G11"/>
    <mergeCell ref="A1:B1"/>
    <mergeCell ref="B11:D11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3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06B8-B7C8-4F68-BC91-1C8B18AF423B}">
  <dimension ref="A1:E6"/>
  <sheetViews>
    <sheetView workbookViewId="0">
      <selection activeCell="C18" sqref="C18"/>
    </sheetView>
  </sheetViews>
  <sheetFormatPr baseColWidth="10" defaultRowHeight="14.4" x14ac:dyDescent="0.3"/>
  <cols>
    <col min="1" max="1" width="27.5546875" bestFit="1" customWidth="1"/>
  </cols>
  <sheetData>
    <row r="1" spans="1:5" ht="15" thickBot="1" x14ac:dyDescent="0.35">
      <c r="A1" s="53" t="s">
        <v>17</v>
      </c>
      <c r="B1" s="54"/>
      <c r="C1" s="54"/>
      <c r="D1" s="54"/>
      <c r="E1" s="55"/>
    </row>
    <row r="2" spans="1:5" x14ac:dyDescent="0.3">
      <c r="A2" s="1" t="s">
        <v>6</v>
      </c>
      <c r="B2" s="7" t="s">
        <v>7</v>
      </c>
      <c r="C2" s="8">
        <v>2017</v>
      </c>
      <c r="D2" s="7">
        <v>2018</v>
      </c>
      <c r="E2" s="7">
        <v>2019</v>
      </c>
    </row>
    <row r="3" spans="1:5" x14ac:dyDescent="0.3">
      <c r="A3" s="9" t="s">
        <v>8</v>
      </c>
      <c r="B3" s="10"/>
      <c r="C3" s="11"/>
      <c r="D3" s="5"/>
      <c r="E3" s="10"/>
    </row>
    <row r="4" spans="1:5" x14ac:dyDescent="0.3">
      <c r="A4" s="3" t="s">
        <v>10</v>
      </c>
      <c r="B4" s="10"/>
      <c r="C4" s="10"/>
      <c r="D4" s="5"/>
      <c r="E4" s="10"/>
    </row>
    <row r="5" spans="1:5" x14ac:dyDescent="0.3">
      <c r="A5" s="3" t="s">
        <v>11</v>
      </c>
      <c r="B5" s="10"/>
      <c r="C5" s="12"/>
      <c r="D5" s="13"/>
      <c r="E5" s="10"/>
    </row>
    <row r="6" spans="1:5" ht="15" thickBot="1" x14ac:dyDescent="0.35">
      <c r="A6" s="6" t="s">
        <v>12</v>
      </c>
      <c r="B6" s="14"/>
      <c r="C6" s="14"/>
      <c r="D6" s="15"/>
      <c r="E6" s="1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8512-FCBB-4E02-A7CC-B736725A1F70}">
  <dimension ref="A1:E6"/>
  <sheetViews>
    <sheetView workbookViewId="0">
      <selection activeCell="A17" sqref="A17"/>
    </sheetView>
  </sheetViews>
  <sheetFormatPr baseColWidth="10" defaultRowHeight="14.4" x14ac:dyDescent="0.3"/>
  <cols>
    <col min="1" max="1" width="32.21875" bestFit="1" customWidth="1"/>
  </cols>
  <sheetData>
    <row r="1" spans="1:5" ht="15" thickBot="1" x14ac:dyDescent="0.35">
      <c r="A1" s="53" t="s">
        <v>17</v>
      </c>
      <c r="B1" s="54"/>
      <c r="C1" s="54"/>
      <c r="D1" s="54"/>
      <c r="E1" s="55"/>
    </row>
    <row r="2" spans="1:5" x14ac:dyDescent="0.3">
      <c r="A2" s="1" t="s">
        <v>6</v>
      </c>
      <c r="B2" s="7" t="s">
        <v>7</v>
      </c>
      <c r="C2" s="8">
        <v>2017</v>
      </c>
      <c r="D2" s="7">
        <v>2018</v>
      </c>
      <c r="E2" s="7">
        <v>2019</v>
      </c>
    </row>
    <row r="3" spans="1:5" x14ac:dyDescent="0.3">
      <c r="A3" s="3" t="s">
        <v>13</v>
      </c>
      <c r="B3" s="16" t="s">
        <v>9</v>
      </c>
      <c r="C3" s="17" t="s">
        <v>9</v>
      </c>
      <c r="D3" s="18">
        <v>2389.1999999999998</v>
      </c>
      <c r="E3" s="19"/>
    </row>
    <row r="4" spans="1:5" x14ac:dyDescent="0.3">
      <c r="A4" s="3" t="s">
        <v>14</v>
      </c>
      <c r="B4" s="16" t="s">
        <v>9</v>
      </c>
      <c r="C4" s="16" t="s">
        <v>9</v>
      </c>
      <c r="D4" s="16" t="s">
        <v>9</v>
      </c>
      <c r="E4" s="19"/>
    </row>
    <row r="5" spans="1:5" x14ac:dyDescent="0.3">
      <c r="A5" s="3" t="s">
        <v>15</v>
      </c>
      <c r="B5" s="16" t="s">
        <v>9</v>
      </c>
      <c r="C5" s="16" t="s">
        <v>9</v>
      </c>
      <c r="D5" s="16" t="s">
        <v>9</v>
      </c>
      <c r="E5" s="19"/>
    </row>
    <row r="6" spans="1:5" ht="15" thickBot="1" x14ac:dyDescent="0.35">
      <c r="A6" s="6" t="s">
        <v>16</v>
      </c>
      <c r="B6" s="20" t="s">
        <v>9</v>
      </c>
      <c r="C6" s="20" t="s">
        <v>9</v>
      </c>
      <c r="D6" s="20" t="s">
        <v>9</v>
      </c>
      <c r="E6" s="2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BAIL</vt:lpstr>
      <vt:lpstr>CHARGES</vt:lpstr>
      <vt:lpstr>TAXES</vt:lpstr>
      <vt:lpstr>BAIL!Zone_d_impression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CHARBEL</dc:creator>
  <cp:lastModifiedBy>Ichiaka KONE</cp:lastModifiedBy>
  <cp:lastPrinted>2022-06-07T14:22:46Z</cp:lastPrinted>
  <dcterms:created xsi:type="dcterms:W3CDTF">2019-06-14T07:17:45Z</dcterms:created>
  <dcterms:modified xsi:type="dcterms:W3CDTF">2025-10-20T13:34:56Z</dcterms:modified>
</cp:coreProperties>
</file>