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34 Deuil La Barre - SCI 34 HAUTE\"/>
    </mc:Choice>
  </mc:AlternateContent>
  <xr:revisionPtr revIDLastSave="0" documentId="13_ncr:1_{FD284EA3-6E44-42A4-B998-E1420A444BE9}" xr6:coauthVersionLast="47" xr6:coauthVersionMax="47" xr10:uidLastSave="{00000000-0000-0000-0000-000000000000}"/>
  <bookViews>
    <workbookView xWindow="-23148" yWindow="-108" windowWidth="23256" windowHeight="12456" xr2:uid="{2BC2E6E9-C79E-4F52-80EC-D2476AE53E0B}"/>
  </bookViews>
  <sheets>
    <sheet name="BAIL" sheetId="1" r:id="rId1"/>
    <sheet name="CHARGES" sheetId="2" r:id="rId2"/>
    <sheet name="TAX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  <c r="C9" i="1"/>
  <c r="C12" i="1" s="1"/>
  <c r="C8" i="1" l="1"/>
  <c r="B12" i="1"/>
  <c r="C10" i="1"/>
  <c r="D9" i="1" s="1"/>
  <c r="E9" i="1" s="1"/>
  <c r="D8" i="1" l="1"/>
  <c r="E8" i="1" s="1"/>
  <c r="F8" i="1" s="1"/>
  <c r="G8" i="1" s="1"/>
  <c r="H8" i="1" s="1"/>
  <c r="I8" i="1" s="1"/>
  <c r="J8" i="1" s="1"/>
  <c r="K8" i="1" s="1"/>
  <c r="L8" i="1" s="1"/>
  <c r="D12" i="1" l="1"/>
  <c r="F9" i="1" l="1"/>
  <c r="E12" i="1"/>
  <c r="G9" i="1" l="1"/>
  <c r="F12" i="1"/>
  <c r="H9" i="1" l="1"/>
  <c r="G12" i="1"/>
  <c r="I9" i="1" l="1"/>
  <c r="H12" i="1"/>
  <c r="J9" i="1" l="1"/>
  <c r="I12" i="1"/>
  <c r="K9" i="1" l="1"/>
  <c r="J12" i="1"/>
  <c r="K12" i="1" l="1"/>
  <c r="L9" i="1"/>
  <c r="L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tc={608A678D-F669-49FB-912A-0E0E3E903D45}</author>
  </authors>
  <commentList>
    <comment ref="B9" authorId="0" shapeId="0" xr:uid="{608A678D-F669-49FB-912A-0E0E3E903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</commentList>
</comments>
</file>

<file path=xl/sharedStrings.xml><?xml version="1.0" encoding="utf-8"?>
<sst xmlns="http://schemas.openxmlformats.org/spreadsheetml/2006/main" count="47" uniqueCount="40">
  <si>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</si>
  <si>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</si>
  <si>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</si>
  <si>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</si>
  <si>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</si>
  <si>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</si>
  <si>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</si>
  <si>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</si>
  <si>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</si>
  <si>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</si>
  <si>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</si>
  <si>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</si>
  <si>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</si>
  <si>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</si>
  <si>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</si>
  <si>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9 ANS</t>
  </si>
  <si>
    <t>LOYER ANNUEL HT (HORS CHARGES)</t>
  </si>
  <si>
    <t>LOYER MENSUEL HT (HORS CHARGES)</t>
  </si>
  <si>
    <t>SUPERFICIE</t>
  </si>
  <si>
    <t>DATE PRISE EFFET</t>
  </si>
  <si>
    <t>DEPOT DE GARANTIE 3 mois de loyer</t>
  </si>
  <si>
    <t>REDUCTION</t>
  </si>
  <si>
    <t>INDICE (INDEXATION DU LOYER) ILC 3T</t>
  </si>
  <si>
    <t>34 RUE HAUTE - 95170 DEUIL LA BARRE</t>
  </si>
  <si>
    <t>SCI 34 RUE HAUTE</t>
  </si>
  <si>
    <t>395 M²</t>
  </si>
  <si>
    <t>01/01/2022-31/12/2022</t>
  </si>
  <si>
    <t>01/01/2023-31/12/2023</t>
  </si>
  <si>
    <t>01/01/2024-31/12/2024</t>
  </si>
  <si>
    <t>01/01/2025-31/12/2025</t>
  </si>
  <si>
    <t>01/01/2026-31/12/2026</t>
  </si>
  <si>
    <t>01/01/2027-31/12/2027</t>
  </si>
  <si>
    <t>01/01/2028-31/12/2028</t>
  </si>
  <si>
    <t>01/01/2029-31/12/2029</t>
  </si>
  <si>
    <t>01/01/2030-31/12/2030</t>
  </si>
  <si>
    <t>01/01/2031-31/12/2031</t>
  </si>
  <si>
    <t>charges 12 mois 8700€</t>
  </si>
  <si>
    <t>FRANCHISE 9 mois</t>
  </si>
  <si>
    <t>01/01/22-30/09/22</t>
  </si>
  <si>
    <t>LPC 34 DEUIL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</si>
</sst>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5">
    <xf numFmtId="0" fontId="0" fillId="0" borderId="0" xfId="0"/>
    <xf numFmtId="0" fontId="2" fillId="2" borderId="3" xfId="0" applyFont="1" applyFill="1" applyBorder="1"/>
    <xf numFmtId="0" fontId="0" fillId="0" borderId="3" xfId="0" applyBorder="1" applyAlignment="1">
      <alignment horizontal="center" vertical="center"/>
    </xf>
    <xf numFmtId="0" fontId="2" fillId="2" borderId="4" xfId="0" applyFont="1" applyFill="1" applyBorder="1"/>
    <xf numFmtId="14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14" fontId="5" fillId="0" borderId="4" xfId="0" applyNumberFormat="1" applyFont="1" applyBorder="1" applyAlignment="1">
      <alignment horizontal="center" vertical="center"/>
    </xf>
    <xf numFmtId="0" fontId="2" fillId="2" borderId="0" xfId="0" applyFont="1" applyFill="1"/>
    <xf numFmtId="6" fontId="0" fillId="0" borderId="0" xfId="0" applyNumberFormat="1"/>
    <xf numFmtId="164" fontId="0" fillId="0" borderId="12" xfId="0" applyNumberForma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14" xfId="0" applyFont="1" applyFill="1" applyBorder="1"/>
    <xf numFmtId="44" fontId="0" fillId="0" borderId="15" xfId="2" applyFont="1" applyBorder="1"/>
    <xf numFmtId="0" fontId="2" fillId="2" borderId="16" xfId="0" applyFont="1" applyFill="1" applyBorder="1"/>
    <xf numFmtId="0" fontId="0" fillId="0" borderId="16" xfId="0" applyBorder="1" applyAlignment="1">
      <alignment horizontal="center" vertical="center"/>
    </xf>
    <xf numFmtId="0" fontId="2" fillId="2" borderId="17" xfId="0" applyFont="1" applyFill="1" applyBorder="1"/>
    <xf numFmtId="44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7</xdr:col>
      <xdr:colOff>541437</xdr:colOff>
      <xdr:row>38</xdr:row>
      <xdr:rowOff>175624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3CA86FC-622E-C8FF-4D81-291FFDDB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7020" y="2964180"/>
          <a:ext cx="4816257" cy="419898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chiaka KONE" id="{5ECAD981-D878-4860-B22D-252DBD34D6CE}" userId="S::ikone@lpc040411.onmicrosoft.com::694664da-ba55-42b4-bfe3-51764e3acdc0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05-19T14:55:59.10" personId="{5ECAD981-D878-4860-B22D-252DBD34D6CE}" id="{608A678D-F669-49FB-912A-0E0E3E903D45}">
    <text>6 mois de franchise a compter de la prise d'effet seule les charges sont à payer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L14"/>
  <sheetViews>
    <sheetView tabSelected="1" topLeftCell="A3" workbookViewId="0">
      <selection activeCell="G13" sqref="G13"/>
    </sheetView>
  </sheetViews>
  <sheetFormatPr baseColWidth="10" defaultRowHeight="14.4" x14ac:dyDescent="0.3"/>
  <cols>
    <col min="1" max="1" width="34.77734375" bestFit="1" customWidth="1"/>
    <col min="2" max="2" width="20.44140625" bestFit="1" customWidth="1"/>
    <col min="3" max="12" width="20.77734375" bestFit="1" customWidth="1"/>
  </cols>
  <sheetData>
    <row r="1" spans="1:12" ht="15" thickBot="1" x14ac:dyDescent="0.35">
      <c r="A1" s="31" t="s">
        <v>39</v>
      </c>
      <c r="B1" s="32"/>
      <c r="C1" t="s">
        <v>23</v>
      </c>
    </row>
    <row r="2" spans="1:12" x14ac:dyDescent="0.3">
      <c r="A2" s="1" t="s">
        <v>0</v>
      </c>
      <c r="B2" s="2" t="s">
        <v>24</v>
      </c>
    </row>
    <row r="3" spans="1:12" x14ac:dyDescent="0.3">
      <c r="A3" s="27" t="s">
        <v>18</v>
      </c>
      <c r="B3" s="28" t="s">
        <v>25</v>
      </c>
    </row>
    <row r="4" spans="1:12" x14ac:dyDescent="0.3">
      <c r="A4" s="3" t="s">
        <v>1</v>
      </c>
      <c r="B4" s="18">
        <v>44531</v>
      </c>
    </row>
    <row r="5" spans="1:12" x14ac:dyDescent="0.3">
      <c r="A5" s="3" t="s">
        <v>19</v>
      </c>
      <c r="B5" s="18">
        <v>44562</v>
      </c>
    </row>
    <row r="6" spans="1:12" ht="15" thickBot="1" x14ac:dyDescent="0.35">
      <c r="A6" s="3" t="s">
        <v>37</v>
      </c>
      <c r="B6" s="18" t="s">
        <v>38</v>
      </c>
    </row>
    <row r="7" spans="1:12" x14ac:dyDescent="0.3">
      <c r="A7" s="3" t="s">
        <v>2</v>
      </c>
      <c r="B7" s="4" t="s">
        <v>15</v>
      </c>
      <c r="C7" s="7" t="s">
        <v>26</v>
      </c>
      <c r="D7" s="7" t="s">
        <v>27</v>
      </c>
      <c r="E7" s="7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7" t="s">
        <v>33</v>
      </c>
      <c r="K7" s="7" t="s">
        <v>34</v>
      </c>
      <c r="L7" s="7" t="s">
        <v>35</v>
      </c>
    </row>
    <row r="8" spans="1:12" x14ac:dyDescent="0.3">
      <c r="A8" s="3" t="s">
        <v>20</v>
      </c>
      <c r="B8" s="5">
        <v>21750</v>
      </c>
      <c r="C8" s="23">
        <f>+B8</f>
        <v>21750</v>
      </c>
      <c r="D8" s="23">
        <f>+C8*D10/C10</f>
        <v>22918.358395989973</v>
      </c>
      <c r="E8" s="23">
        <f t="shared" ref="E8:K8" si="0">+D8*E10/D10</f>
        <v>24286.591478696741</v>
      </c>
      <c r="F8" s="23">
        <f t="shared" si="0"/>
        <v>25022.49373433584</v>
      </c>
      <c r="G8" s="23">
        <f t="shared" si="0"/>
        <v>24909.837092731828</v>
      </c>
      <c r="H8" s="23">
        <f t="shared" si="0"/>
        <v>0</v>
      </c>
      <c r="I8" s="23" t="e">
        <f t="shared" si="0"/>
        <v>#DIV/0!</v>
      </c>
      <c r="J8" s="23" t="e">
        <f t="shared" si="0"/>
        <v>#DIV/0!</v>
      </c>
      <c r="K8" s="23" t="e">
        <f t="shared" si="0"/>
        <v>#DIV/0!</v>
      </c>
      <c r="L8" s="23" t="e">
        <f t="shared" ref="L8" si="1">+K8*L10/K10</f>
        <v>#DIV/0!</v>
      </c>
    </row>
    <row r="9" spans="1:12" x14ac:dyDescent="0.3">
      <c r="A9" s="3" t="s">
        <v>16</v>
      </c>
      <c r="B9" s="21">
        <v>87000</v>
      </c>
      <c r="C9" s="23">
        <f>+B9-C11</f>
        <v>87000</v>
      </c>
      <c r="D9" s="23">
        <f>+C9*D10/C10-D11</f>
        <v>91673.433583959893</v>
      </c>
      <c r="E9" s="23">
        <f>+D9*E10/D10-E11</f>
        <v>97146.365914786962</v>
      </c>
      <c r="F9" s="23">
        <f t="shared" ref="F9:L9" si="2">+E9*F10/E10</f>
        <v>100089.97493734336</v>
      </c>
      <c r="G9" s="23">
        <f t="shared" si="2"/>
        <v>99639.348370927313</v>
      </c>
      <c r="H9" s="23">
        <f t="shared" si="2"/>
        <v>0</v>
      </c>
      <c r="I9" s="23" t="e">
        <f t="shared" si="2"/>
        <v>#DIV/0!</v>
      </c>
      <c r="J9" s="23" t="e">
        <f t="shared" si="2"/>
        <v>#DIV/0!</v>
      </c>
      <c r="K9" s="23" t="e">
        <f t="shared" si="2"/>
        <v>#DIV/0!</v>
      </c>
      <c r="L9" s="23" t="e">
        <f t="shared" si="2"/>
        <v>#DIV/0!</v>
      </c>
    </row>
    <row r="10" spans="1:12" ht="15" thickBot="1" x14ac:dyDescent="0.35">
      <c r="A10" s="6" t="s">
        <v>22</v>
      </c>
      <c r="B10" s="22">
        <v>119.7</v>
      </c>
      <c r="C10" s="24">
        <f>+B10</f>
        <v>119.7</v>
      </c>
      <c r="D10" s="24">
        <v>126.13</v>
      </c>
      <c r="E10" s="24">
        <v>133.66</v>
      </c>
      <c r="F10" s="24">
        <v>137.71</v>
      </c>
      <c r="G10" s="24">
        <v>137.09</v>
      </c>
      <c r="H10" s="24"/>
      <c r="I10" s="24"/>
      <c r="J10" s="24"/>
      <c r="K10" s="24"/>
      <c r="L10" s="24"/>
    </row>
    <row r="11" spans="1:12" ht="15" thickBot="1" x14ac:dyDescent="0.35">
      <c r="A11" s="29" t="s">
        <v>21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12" ht="15" thickBot="1" x14ac:dyDescent="0.35">
      <c r="A12" s="25" t="s">
        <v>17</v>
      </c>
      <c r="B12" s="26">
        <f>+B9/4</f>
        <v>21750</v>
      </c>
      <c r="C12" s="26">
        <f>+C9/4</f>
        <v>21750</v>
      </c>
      <c r="D12" s="26">
        <f t="shared" ref="D12:K12" si="3">+D9/4</f>
        <v>22918.358395989973</v>
      </c>
      <c r="E12" s="26">
        <f t="shared" si="3"/>
        <v>24286.591478696741</v>
      </c>
      <c r="F12" s="26">
        <f t="shared" si="3"/>
        <v>25022.49373433584</v>
      </c>
      <c r="G12" s="26">
        <f t="shared" si="3"/>
        <v>24909.837092731828</v>
      </c>
      <c r="H12" s="26">
        <f t="shared" si="3"/>
        <v>0</v>
      </c>
      <c r="I12" s="26" t="e">
        <f t="shared" si="3"/>
        <v>#DIV/0!</v>
      </c>
      <c r="J12" s="26" t="e">
        <f t="shared" si="3"/>
        <v>#DIV/0!</v>
      </c>
      <c r="K12" s="26" t="e">
        <f t="shared" si="3"/>
        <v>#DIV/0!</v>
      </c>
      <c r="L12" s="26" t="e">
        <f t="shared" ref="L12" si="4">+L9/4</f>
        <v>#DIV/0!</v>
      </c>
    </row>
    <row r="13" spans="1:12" x14ac:dyDescent="0.3">
      <c r="D13" s="30">
        <f>+D12-C12</f>
        <v>1168.3583959899734</v>
      </c>
      <c r="E13" s="30">
        <f>+E12-D12</f>
        <v>1368.2330827067672</v>
      </c>
      <c r="F13" s="30">
        <f>+F12-E12</f>
        <v>735.90225563909917</v>
      </c>
      <c r="G13" s="30">
        <f>+G12-F12</f>
        <v>-112.65664160401138</v>
      </c>
    </row>
    <row r="14" spans="1:12" x14ac:dyDescent="0.3">
      <c r="A14" s="19" t="s">
        <v>36</v>
      </c>
      <c r="B14" s="20"/>
    </row>
  </sheetData>
  <mergeCells count="1">
    <mergeCell ref="A1:B1"/>
  </mergeCells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L9"/>
  <sheetViews>
    <sheetView topLeftCell="B1" workbookViewId="0">
      <selection activeCell="M1" sqref="M1"/>
    </sheetView>
  </sheetViews>
  <sheetFormatPr baseColWidth="10" defaultRowHeight="14.4" x14ac:dyDescent="0.3"/>
  <cols>
    <col min="1" max="1" width="27.5546875" bestFit="1" customWidth="1"/>
    <col min="2" max="2" width="13.77734375" customWidth="1"/>
    <col min="4" max="4" width="13.5546875" customWidth="1"/>
    <col min="5" max="5" width="13.77734375" customWidth="1"/>
    <col min="6" max="6" width="13.5546875" customWidth="1"/>
    <col min="7" max="7" width="14" customWidth="1"/>
  </cols>
  <sheetData>
    <row r="1" spans="1:12" ht="15" thickBot="1" x14ac:dyDescent="0.35">
      <c r="A1" s="33" t="s">
        <v>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3">
      <c r="A2" s="1" t="s">
        <v>3</v>
      </c>
      <c r="B2" s="7" t="s">
        <v>4</v>
      </c>
      <c r="C2" s="16">
        <v>43941</v>
      </c>
      <c r="D2" s="7">
        <v>2021</v>
      </c>
      <c r="E2" s="8">
        <v>2022</v>
      </c>
      <c r="F2" s="7">
        <v>2023</v>
      </c>
      <c r="G2" s="8">
        <v>2024</v>
      </c>
      <c r="H2" s="7">
        <v>2025</v>
      </c>
      <c r="I2" s="8">
        <v>2026</v>
      </c>
      <c r="J2" s="7">
        <v>2027</v>
      </c>
      <c r="K2" s="8">
        <v>2028</v>
      </c>
      <c r="L2" s="16">
        <v>47227</v>
      </c>
    </row>
    <row r="3" spans="1:12" x14ac:dyDescent="0.3">
      <c r="A3" s="9" t="s">
        <v>5</v>
      </c>
      <c r="B3" s="10" t="s">
        <v>14</v>
      </c>
      <c r="C3" s="11"/>
      <c r="D3" s="5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3" t="s">
        <v>6</v>
      </c>
      <c r="B4" s="10" t="s">
        <v>14</v>
      </c>
      <c r="C4" s="10"/>
      <c r="D4" s="5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s="3" t="s">
        <v>7</v>
      </c>
      <c r="B5" s="10">
        <v>2400</v>
      </c>
      <c r="C5" s="12"/>
      <c r="D5" s="10"/>
      <c r="E5" s="10"/>
      <c r="F5" s="10"/>
      <c r="G5" s="10"/>
      <c r="H5" s="10"/>
      <c r="I5" s="10"/>
      <c r="J5" s="10"/>
      <c r="K5" s="10"/>
      <c r="L5" s="10"/>
    </row>
    <row r="6" spans="1:12" ht="15" thickBot="1" x14ac:dyDescent="0.35">
      <c r="A6" s="6" t="s">
        <v>8</v>
      </c>
      <c r="B6" s="13"/>
      <c r="C6" s="13"/>
      <c r="D6" s="14"/>
      <c r="E6" s="13"/>
      <c r="F6" s="13"/>
      <c r="G6" s="13"/>
      <c r="H6" s="13"/>
      <c r="I6" s="13"/>
      <c r="J6" s="13"/>
      <c r="K6" s="13"/>
      <c r="L6" s="13"/>
    </row>
    <row r="9" spans="1:12" x14ac:dyDescent="0.3">
      <c r="D9" s="17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activeCell="M1" sqref="M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33" t="s">
        <v>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3">
      <c r="A2" s="1" t="s">
        <v>9</v>
      </c>
      <c r="B2" s="7" t="s">
        <v>4</v>
      </c>
      <c r="C2" s="16">
        <v>43941</v>
      </c>
      <c r="D2" s="7">
        <v>2021</v>
      </c>
      <c r="E2" s="8">
        <v>2022</v>
      </c>
      <c r="F2" s="7">
        <v>2023</v>
      </c>
      <c r="G2" s="8">
        <v>2024</v>
      </c>
      <c r="H2" s="7">
        <v>2025</v>
      </c>
      <c r="I2" s="8">
        <v>2026</v>
      </c>
      <c r="J2" s="7">
        <v>2027</v>
      </c>
      <c r="K2" s="8">
        <v>2028</v>
      </c>
      <c r="L2" s="16">
        <v>47227</v>
      </c>
    </row>
    <row r="3" spans="1:12" x14ac:dyDescent="0.3">
      <c r="A3" s="3" t="s">
        <v>10</v>
      </c>
      <c r="B3" s="10" t="s">
        <v>14</v>
      </c>
      <c r="C3" s="11"/>
      <c r="D3" s="5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3" t="s">
        <v>11</v>
      </c>
      <c r="B4" s="10" t="s">
        <v>14</v>
      </c>
      <c r="C4" s="10"/>
      <c r="D4" s="5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s="3" t="s">
        <v>12</v>
      </c>
      <c r="B5" s="10" t="s">
        <v>14</v>
      </c>
      <c r="C5" s="12"/>
      <c r="D5" s="15"/>
      <c r="E5" s="10"/>
      <c r="F5" s="10"/>
      <c r="G5" s="10"/>
      <c r="H5" s="10"/>
      <c r="I5" s="10"/>
      <c r="J5" s="10"/>
      <c r="K5" s="10"/>
      <c r="L5" s="10"/>
    </row>
    <row r="6" spans="1:12" ht="15" thickBot="1" x14ac:dyDescent="0.35">
      <c r="A6" s="6" t="s">
        <v>13</v>
      </c>
      <c r="B6" s="13"/>
      <c r="C6" s="13"/>
      <c r="D6" s="14"/>
      <c r="E6" s="13"/>
      <c r="F6" s="13"/>
      <c r="G6" s="13"/>
      <c r="H6" s="13"/>
      <c r="I6" s="13"/>
      <c r="J6" s="13"/>
      <c r="K6" s="13"/>
      <c r="L6" s="13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BAIL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2026-01-20T16:16:06Z</dcterms:modified>
</cp:coreProperties>
</file>