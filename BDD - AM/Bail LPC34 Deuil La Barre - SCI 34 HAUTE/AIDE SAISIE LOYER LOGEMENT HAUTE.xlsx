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34 Deuil La Barre - SCI 34 HAUTE\"/>
    </mc:Choice>
  </mc:AlternateContent>
  <xr:revisionPtr revIDLastSave="0" documentId="13_ncr:1_{CEA167C7-4A4B-456B-BC99-46B06F99BB4D}" xr6:coauthVersionLast="47" xr6:coauthVersionMax="47" xr10:uidLastSave="{00000000-0000-0000-0000-000000000000}"/>
  <bookViews>
    <workbookView xWindow="-108" yWindow="-108" windowWidth="23256" windowHeight="13896" activeTab="2" xr2:uid="{F58CF8D8-1C3F-4931-A2E0-5C17F5381BB5}"/>
  </bookViews>
  <sheets>
    <sheet name="dépenses" sheetId="2" r:id="rId1"/>
    <sheet name="loyer+charges" sheetId="1" r:id="rId2"/>
    <sheet name="loyer+charges (CESAP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E23" i="3" s="1"/>
  <c r="C30" i="3"/>
  <c r="E30" i="3" s="1"/>
  <c r="C29" i="3"/>
  <c r="E29" i="3" s="1"/>
  <c r="C28" i="3"/>
  <c r="E28" i="3" s="1"/>
  <c r="C27" i="3"/>
  <c r="E27" i="3" s="1"/>
  <c r="C26" i="3"/>
  <c r="E26" i="3" s="1"/>
  <c r="C25" i="3"/>
  <c r="E25" i="3" s="1"/>
  <c r="C24" i="3"/>
  <c r="E24" i="3" s="1"/>
  <c r="H10" i="3"/>
  <c r="C22" i="3"/>
  <c r="E22" i="3" s="1"/>
  <c r="C21" i="3"/>
  <c r="E21" i="3" s="1"/>
  <c r="C20" i="3"/>
  <c r="E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E14" i="3" s="1"/>
  <c r="C13" i="3"/>
  <c r="E13" i="3" s="1"/>
  <c r="C12" i="3"/>
  <c r="E12" i="3" s="1"/>
  <c r="C11" i="3"/>
  <c r="E11" i="3" s="1"/>
  <c r="C10" i="3"/>
  <c r="E10" i="3" s="1"/>
  <c r="C9" i="3"/>
  <c r="E9" i="3" s="1"/>
  <c r="C8" i="3"/>
  <c r="E8" i="3" s="1"/>
  <c r="C7" i="3"/>
  <c r="E7" i="3" s="1"/>
  <c r="C6" i="3"/>
  <c r="E6" i="3" s="1"/>
  <c r="E5" i="3"/>
  <c r="H30" i="2"/>
  <c r="C35" i="2"/>
  <c r="C36" i="2"/>
  <c r="C37" i="2"/>
  <c r="E37" i="2" s="1"/>
  <c r="C38" i="2"/>
  <c r="E38" i="2" s="1"/>
  <c r="C39" i="2"/>
  <c r="E39" i="2" s="1"/>
  <c r="C40" i="2"/>
  <c r="E40" i="2" s="1"/>
  <c r="C41" i="2"/>
  <c r="E41" i="2" s="1"/>
  <c r="C42" i="2"/>
  <c r="E42" i="2" s="1"/>
  <c r="C43" i="2"/>
  <c r="E43" i="2" s="1"/>
  <c r="C44" i="2"/>
  <c r="E44" i="2" s="1"/>
  <c r="C34" i="2"/>
  <c r="E34" i="2" s="1"/>
  <c r="C22" i="2"/>
  <c r="E22" i="2" s="1"/>
  <c r="C23" i="2"/>
  <c r="E23" i="2" s="1"/>
  <c r="C24" i="2"/>
  <c r="E24" i="2" s="1"/>
  <c r="C25" i="2"/>
  <c r="E25" i="2" s="1"/>
  <c r="C26" i="2"/>
  <c r="E26" i="2" s="1"/>
  <c r="C27" i="2"/>
  <c r="E27" i="2" s="1"/>
  <c r="C28" i="2"/>
  <c r="E28" i="2" s="1"/>
  <c r="C29" i="2"/>
  <c r="E29" i="2" s="1"/>
  <c r="C30" i="2"/>
  <c r="E30" i="2" s="1"/>
  <c r="C31" i="2"/>
  <c r="E31" i="2" s="1"/>
  <c r="C21" i="2"/>
  <c r="E21" i="2" s="1"/>
  <c r="E36" i="2"/>
  <c r="E35" i="2"/>
  <c r="E33" i="2"/>
  <c r="E20" i="2"/>
  <c r="E6" i="2"/>
  <c r="C8" i="2"/>
  <c r="C23" i="1"/>
  <c r="E23" i="1" s="1"/>
  <c r="C22" i="1"/>
  <c r="E22" i="1" s="1"/>
  <c r="C17" i="2"/>
  <c r="E17" i="2" s="1"/>
  <c r="C16" i="2"/>
  <c r="E16" i="2" s="1"/>
  <c r="C15" i="2"/>
  <c r="E15" i="2" s="1"/>
  <c r="C14" i="2"/>
  <c r="E14" i="2" s="1"/>
  <c r="C13" i="2"/>
  <c r="E13" i="2" s="1"/>
  <c r="C12" i="2"/>
  <c r="E12" i="2" s="1"/>
  <c r="C11" i="2"/>
  <c r="E11" i="2" s="1"/>
  <c r="C10" i="2"/>
  <c r="E10" i="2" s="1"/>
  <c r="C9" i="2"/>
  <c r="E9" i="2" s="1"/>
  <c r="E8" i="2"/>
  <c r="C7" i="2"/>
  <c r="E7" i="2" s="1"/>
  <c r="C7" i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6" i="1"/>
  <c r="E6" i="1" s="1"/>
  <c r="E7" i="1"/>
  <c r="E5" i="1"/>
</calcChain>
</file>

<file path=xl/sharedStrings.xml><?xml version="1.0" encoding="utf-8"?>
<sst xmlns="http://schemas.openxmlformats.org/spreadsheetml/2006/main" count="93" uniqueCount="55">
  <si>
    <t xml:space="preserve"> LOYER PRINCIPAL (01/01/2025 - 31/01/2025)</t>
  </si>
  <si>
    <t xml:space="preserve"> LOYER PRINCIPAL (01/02/2025 - 28/02/2025)</t>
  </si>
  <si>
    <t xml:space="preserve"> LOYER PRINCIPAL (01/03/2025 - 31/03/2025)</t>
  </si>
  <si>
    <t xml:space="preserve"> LOYER PRINCIPAL (01/04/2025 - 30/04/2025)</t>
  </si>
  <si>
    <t xml:space="preserve"> LOYER PRINCIPAL (01/05/2025 - 31/05/2025)</t>
  </si>
  <si>
    <t xml:space="preserve"> LOYER PRINCIPAL (01/06/2025 - 30/06/2025)</t>
  </si>
  <si>
    <t xml:space="preserve"> LOYER PRINCIPAL (01/07/2025 - 31/07/2025)</t>
  </si>
  <si>
    <t xml:space="preserve"> LOYER PRINCIPAL (01/08/2025 - 31/08/2025)</t>
  </si>
  <si>
    <t xml:space="preserve"> LOYER PRINCIPAL (01/09/2025 - 30/09/2025)</t>
  </si>
  <si>
    <t xml:space="preserve"> LOYER PRINCIPAL (01/10/2025 - 31/10/2025)</t>
  </si>
  <si>
    <t xml:space="preserve"> LOYER PRINCIPAL (01/11/2025 - 30/11/2025)</t>
  </si>
  <si>
    <t xml:space="preserve"> LOYER PRINCIPAL (01/12/2025 - 31/12/2025)</t>
  </si>
  <si>
    <t xml:space="preserve"> PROVISIONS CHARGES (01/01/2025 - 31/01/2025)</t>
  </si>
  <si>
    <t xml:space="preserve"> PROVISIONS CHARGES (01/02/2025 - 28/02/2025)</t>
  </si>
  <si>
    <t xml:space="preserve"> PROVISIONS CHARGES (01/03/2025 - 31/03/2025)</t>
  </si>
  <si>
    <t xml:space="preserve"> PROVISIONS CHARGES (01/04/2025 - 30/04/2025)</t>
  </si>
  <si>
    <t xml:space="preserve"> PROVISIONS CHARGES (01/05/2025 - 31/05/2025)</t>
  </si>
  <si>
    <t xml:space="preserve"> PROVISIONS CHARGES (01/06/2025 - 30/06/2025)</t>
  </si>
  <si>
    <t xml:space="preserve"> PROVISIONS CHARGES (01/07/2025 - 31/07/2025)</t>
  </si>
  <si>
    <t xml:space="preserve"> PROVISIONS CHARGES (01/08/2025 - 31/08/2025)</t>
  </si>
  <si>
    <t xml:space="preserve"> PROVISIONS CHARGES (01/09/2025 - 30/09/2025)</t>
  </si>
  <si>
    <t xml:space="preserve"> PROVISIONS CHARGES (01/10/2025 - 31/10/2025)</t>
  </si>
  <si>
    <t xml:space="preserve"> PROVISIONS CHARGES (01/11/2025 - 30/11/2025)</t>
  </si>
  <si>
    <t xml:space="preserve"> PROVISIONS CHARGES (01/12/2025 - 31/12/2025)</t>
  </si>
  <si>
    <t xml:space="preserve"> REGULARISATION DES CHARGES (01/01/2024 - 31/12/2024)</t>
  </si>
  <si>
    <t xml:space="preserve"> REGULARISATION DES CHARGES (01/01/2025 - 31/12/2025)</t>
  </si>
  <si>
    <t xml:space="preserve">Mr et Mme PAUTTE Benoît </t>
  </si>
  <si>
    <t xml:space="preserve">  01/01/2025 au 31/01/2025</t>
  </si>
  <si>
    <t xml:space="preserve">  01/02/2025 au 28/02/2025</t>
  </si>
  <si>
    <t xml:space="preserve">  01/03/2025 au 31/03/2025</t>
  </si>
  <si>
    <t xml:space="preserve">  01/04/2025 au 30/04/2025</t>
  </si>
  <si>
    <t xml:space="preserve">  01/05/2025 au 31/05/2025</t>
  </si>
  <si>
    <t xml:space="preserve">  01/06/2025 au 30/06/2025</t>
  </si>
  <si>
    <t xml:space="preserve">  01/07/2025 au 31/07/2025</t>
  </si>
  <si>
    <t xml:space="preserve">  01/08/2025 au 31/08/2025</t>
  </si>
  <si>
    <t xml:space="preserve">  01/09/2025 au 30/09/2025</t>
  </si>
  <si>
    <t xml:space="preserve">  01/10/2025 au 31/10/2025</t>
  </si>
  <si>
    <t xml:space="preserve">  01/11/2025 au 30/11/2025</t>
  </si>
  <si>
    <t xml:space="preserve">  01/12/2025 au 31/12/2025</t>
  </si>
  <si>
    <t>GARANTIE DES LOYERS pour la période du</t>
  </si>
  <si>
    <t>HONORAIRES GESTION 6.25% pour la période du</t>
  </si>
  <si>
    <t>ENTRETIEN ET SERVICE POUBELLES FEVRIER 2025 - Facture FACTURE N° 25020127 / SCI 34 RUE HAUTE - ... GUIMA NETTOYAGE</t>
  </si>
  <si>
    <t>ASSOCIATION CESAP</t>
  </si>
  <si>
    <t xml:space="preserve"> LOYER PRINCIPAL (01/07/2025 - 30/09/2025)</t>
  </si>
  <si>
    <t xml:space="preserve"> LOYER PRINCIPAL (01/10/2025 - 31/12/2025)</t>
  </si>
  <si>
    <t xml:space="preserve"> PROVISIONS CHARGES (01/10/2025 - 31/12/2025)</t>
  </si>
  <si>
    <t xml:space="preserve"> PROVISIONS CHARGES (01/07/2025 - 30/09/2025)</t>
  </si>
  <si>
    <t xml:space="preserve"> HONORAIRES GESTION 6.25% pour la période du  01/01/2025 au 31/01/2025</t>
  </si>
  <si>
    <t xml:space="preserve"> HONORAIRES GESTION 6.25% pour la période du  01/02/2025 au 28/02/2025</t>
  </si>
  <si>
    <t xml:space="preserve"> HONORAIRES GESTION 6.25% pour la période du  01/03/2025 au 31/03/2025</t>
  </si>
  <si>
    <t xml:space="preserve"> HONORAIRES GESTION 6.25% pour la période du  01/04/2025 au 30/04/2025</t>
  </si>
  <si>
    <t xml:space="preserve"> HONORAIRES GESTION 6.25% pour la période du  01/05/2025 au 31/05/2025</t>
  </si>
  <si>
    <t xml:space="preserve"> HONORAIRES GESTION 6.25% pour la période du  01/06/2025 au 30/06/2025</t>
  </si>
  <si>
    <t xml:space="preserve"> HONORAIRES GESTION 6.25% pour la période du  01/07/2025 au 30/09/2025</t>
  </si>
  <si>
    <t xml:space="preserve"> HONORAIRES GESTION 6.25% pour la période du  01/10/2025 au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</si>
</sst>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A1A9-B0FF-42F9-BCD8-FADB0390B207}">
  <dimension ref="C6:H44"/>
  <sheetViews>
    <sheetView topLeftCell="A4" workbookViewId="0">
      <selection activeCell="E20" sqref="E20:E29"/>
    </sheetView>
  </sheetViews>
  <sheetFormatPr baseColWidth="10" defaultRowHeight="14.4" x14ac:dyDescent="0.3"/>
  <cols>
    <col min="3" max="3" width="25.109375" customWidth="1"/>
    <col min="4" max="4" width="42.109375" bestFit="1" customWidth="1"/>
    <col min="5" max="5" width="57.6640625" bestFit="1" customWidth="1"/>
  </cols>
  <sheetData>
    <row r="6" spans="3:5" x14ac:dyDescent="0.3">
      <c r="C6" s="1" t="s">
        <v>39</v>
      </c>
      <c r="D6" t="s">
        <v>27</v>
      </c>
      <c r="E6" t="str">
        <f t="shared" ref="E6:E17" si="0">+C6&amp;D6</f>
        <v>GARANTIE DES LOYERS pour la période du  01/01/2025 au 31/01/2025</v>
      </c>
    </row>
    <row r="7" spans="3:5" x14ac:dyDescent="0.3">
      <c r="C7" t="str">
        <f>+$C$6</f>
        <v>GARANTIE DES LOYERS pour la période du</v>
      </c>
      <c r="D7" t="s">
        <v>28</v>
      </c>
      <c r="E7" t="str">
        <f t="shared" si="0"/>
        <v>GARANTIE DES LOYERS pour la période du  01/02/2025 au 28/02/2025</v>
      </c>
    </row>
    <row r="8" spans="3:5" x14ac:dyDescent="0.3">
      <c r="C8" t="str">
        <f>+$C$6</f>
        <v>GARANTIE DES LOYERS pour la période du</v>
      </c>
      <c r="D8" t="s">
        <v>29</v>
      </c>
      <c r="E8" t="str">
        <f t="shared" si="0"/>
        <v>GARANTIE DES LOYERS pour la période du  01/03/2025 au 31/03/2025</v>
      </c>
    </row>
    <row r="9" spans="3:5" x14ac:dyDescent="0.3">
      <c r="C9" t="str">
        <f>+$C$6</f>
        <v>GARANTIE DES LOYERS pour la période du</v>
      </c>
      <c r="D9" t="s">
        <v>30</v>
      </c>
      <c r="E9" t="str">
        <f t="shared" si="0"/>
        <v>GARANTIE DES LOYERS pour la période du  01/04/2025 au 30/04/2025</v>
      </c>
    </row>
    <row r="10" spans="3:5" x14ac:dyDescent="0.3">
      <c r="C10" t="str">
        <f>+$C$6</f>
        <v>GARANTIE DES LOYERS pour la période du</v>
      </c>
      <c r="D10" t="s">
        <v>31</v>
      </c>
      <c r="E10" t="str">
        <f t="shared" si="0"/>
        <v>GARANTIE DES LOYERS pour la période du  01/05/2025 au 31/05/2025</v>
      </c>
    </row>
    <row r="11" spans="3:5" x14ac:dyDescent="0.3">
      <c r="C11" t="str">
        <f>+$C$6</f>
        <v>GARANTIE DES LOYERS pour la période du</v>
      </c>
      <c r="D11" t="s">
        <v>32</v>
      </c>
      <c r="E11" t="str">
        <f t="shared" si="0"/>
        <v>GARANTIE DES LOYERS pour la période du  01/06/2025 au 30/06/2025</v>
      </c>
    </row>
    <row r="12" spans="3:5" x14ac:dyDescent="0.3">
      <c r="C12" t="str">
        <f>+$C$6</f>
        <v>GARANTIE DES LOYERS pour la période du</v>
      </c>
      <c r="D12" t="s">
        <v>33</v>
      </c>
      <c r="E12" t="str">
        <f t="shared" si="0"/>
        <v>GARANTIE DES LOYERS pour la période du  01/07/2025 au 31/07/2025</v>
      </c>
    </row>
    <row r="13" spans="3:5" x14ac:dyDescent="0.3">
      <c r="C13" t="str">
        <f>+$C$6</f>
        <v>GARANTIE DES LOYERS pour la période du</v>
      </c>
      <c r="D13" t="s">
        <v>34</v>
      </c>
      <c r="E13" t="str">
        <f t="shared" si="0"/>
        <v>GARANTIE DES LOYERS pour la période du  01/08/2025 au 31/08/2025</v>
      </c>
    </row>
    <row r="14" spans="3:5" x14ac:dyDescent="0.3">
      <c r="C14" t="str">
        <f>+$C$6</f>
        <v>GARANTIE DES LOYERS pour la période du</v>
      </c>
      <c r="D14" t="s">
        <v>35</v>
      </c>
      <c r="E14" t="str">
        <f t="shared" si="0"/>
        <v>GARANTIE DES LOYERS pour la période du  01/09/2025 au 30/09/2025</v>
      </c>
    </row>
    <row r="15" spans="3:5" x14ac:dyDescent="0.3">
      <c r="C15" t="str">
        <f>+$C$6</f>
        <v>GARANTIE DES LOYERS pour la période du</v>
      </c>
      <c r="D15" t="s">
        <v>36</v>
      </c>
      <c r="E15" t="str">
        <f t="shared" si="0"/>
        <v>GARANTIE DES LOYERS pour la période du  01/10/2025 au 31/10/2025</v>
      </c>
    </row>
    <row r="16" spans="3:5" x14ac:dyDescent="0.3">
      <c r="C16" t="str">
        <f>+$C$6</f>
        <v>GARANTIE DES LOYERS pour la période du</v>
      </c>
      <c r="D16" t="s">
        <v>37</v>
      </c>
      <c r="E16" t="str">
        <f t="shared" si="0"/>
        <v>GARANTIE DES LOYERS pour la période du  01/11/2025 au 30/11/2025</v>
      </c>
    </row>
    <row r="17" spans="3:8" x14ac:dyDescent="0.3">
      <c r="C17" t="str">
        <f>+$C$6</f>
        <v>GARANTIE DES LOYERS pour la période du</v>
      </c>
      <c r="D17" t="s">
        <v>38</v>
      </c>
      <c r="E17" t="str">
        <f t="shared" si="0"/>
        <v>GARANTIE DES LOYERS pour la période du  01/12/2025 au 31/12/2025</v>
      </c>
      <c r="F17" t="s">
        <v>41</v>
      </c>
    </row>
    <row r="20" spans="3:8" x14ac:dyDescent="0.3">
      <c r="C20" s="1" t="s">
        <v>40</v>
      </c>
      <c r="D20" t="s">
        <v>27</v>
      </c>
      <c r="E20" t="str">
        <f t="shared" ref="E20:E31" si="1">+C20&amp;D20</f>
        <v>HONORAIRES GESTION 6.25% pour la période du  01/01/2025 au 31/01/2025</v>
      </c>
    </row>
    <row r="21" spans="3:8" x14ac:dyDescent="0.3">
      <c r="C21" t="str">
        <f>+$C$20</f>
        <v>HONORAIRES GESTION 6.25% pour la période du</v>
      </c>
      <c r="D21" t="s">
        <v>28</v>
      </c>
      <c r="E21" t="str">
        <f t="shared" si="1"/>
        <v>HONORAIRES GESTION 6.25% pour la période du  01/02/2025 au 28/02/2025</v>
      </c>
    </row>
    <row r="22" spans="3:8" x14ac:dyDescent="0.3">
      <c r="C22" t="str">
        <f t="shared" ref="C22:C31" si="2">+$C$20</f>
        <v>HONORAIRES GESTION 6.25% pour la période du</v>
      </c>
      <c r="D22" t="s">
        <v>29</v>
      </c>
      <c r="E22" t="str">
        <f t="shared" si="1"/>
        <v>HONORAIRES GESTION 6.25% pour la période du  01/03/2025 au 31/03/2025</v>
      </c>
    </row>
    <row r="23" spans="3:8" x14ac:dyDescent="0.3">
      <c r="C23" t="str">
        <f t="shared" si="2"/>
        <v>HONORAIRES GESTION 6.25% pour la période du</v>
      </c>
      <c r="D23" t="s">
        <v>30</v>
      </c>
      <c r="E23" t="str">
        <f t="shared" si="1"/>
        <v>HONORAIRES GESTION 6.25% pour la période du  01/04/2025 au 30/04/2025</v>
      </c>
    </row>
    <row r="24" spans="3:8" x14ac:dyDescent="0.3">
      <c r="C24" t="str">
        <f t="shared" si="2"/>
        <v>HONORAIRES GESTION 6.25% pour la période du</v>
      </c>
      <c r="D24" t="s">
        <v>31</v>
      </c>
      <c r="E24" t="str">
        <f t="shared" si="1"/>
        <v>HONORAIRES GESTION 6.25% pour la période du  01/05/2025 au 31/05/2025</v>
      </c>
    </row>
    <row r="25" spans="3:8" x14ac:dyDescent="0.3">
      <c r="C25" t="str">
        <f t="shared" si="2"/>
        <v>HONORAIRES GESTION 6.25% pour la période du</v>
      </c>
      <c r="D25" t="s">
        <v>32</v>
      </c>
      <c r="E25" t="str">
        <f t="shared" si="1"/>
        <v>HONORAIRES GESTION 6.25% pour la période du  01/06/2025 au 30/06/2025</v>
      </c>
    </row>
    <row r="26" spans="3:8" x14ac:dyDescent="0.3">
      <c r="C26" t="str">
        <f t="shared" si="2"/>
        <v>HONORAIRES GESTION 6.25% pour la période du</v>
      </c>
      <c r="D26" t="s">
        <v>33</v>
      </c>
      <c r="E26" t="str">
        <f t="shared" si="1"/>
        <v>HONORAIRES GESTION 6.25% pour la période du  01/07/2025 au 31/07/2025</v>
      </c>
    </row>
    <row r="27" spans="3:8" x14ac:dyDescent="0.3">
      <c r="C27" t="str">
        <f t="shared" si="2"/>
        <v>HONORAIRES GESTION 6.25% pour la période du</v>
      </c>
      <c r="D27" t="s">
        <v>34</v>
      </c>
      <c r="E27" t="str">
        <f t="shared" si="1"/>
        <v>HONORAIRES GESTION 6.25% pour la période du  01/08/2025 au 31/08/2025</v>
      </c>
    </row>
    <row r="28" spans="3:8" x14ac:dyDescent="0.3">
      <c r="C28" t="str">
        <f t="shared" si="2"/>
        <v>HONORAIRES GESTION 6.25% pour la période du</v>
      </c>
      <c r="D28" t="s">
        <v>35</v>
      </c>
      <c r="E28" t="str">
        <f t="shared" si="1"/>
        <v>HONORAIRES GESTION 6.25% pour la période du  01/09/2025 au 30/09/2025</v>
      </c>
      <c r="H28">
        <v>241.51</v>
      </c>
    </row>
    <row r="29" spans="3:8" x14ac:dyDescent="0.3">
      <c r="C29" t="str">
        <f t="shared" si="2"/>
        <v>HONORAIRES GESTION 6.25% pour la période du</v>
      </c>
      <c r="D29" t="s">
        <v>36</v>
      </c>
      <c r="E29" t="str">
        <f t="shared" si="1"/>
        <v>HONORAIRES GESTION 6.25% pour la période du  01/10/2025 au 31/10/2025</v>
      </c>
      <c r="H29">
        <v>48.31</v>
      </c>
    </row>
    <row r="30" spans="3:8" x14ac:dyDescent="0.3">
      <c r="C30" t="str">
        <f t="shared" si="2"/>
        <v>HONORAIRES GESTION 6.25% pour la période du</v>
      </c>
      <c r="D30" t="s">
        <v>37</v>
      </c>
      <c r="E30" t="str">
        <f t="shared" si="1"/>
        <v>HONORAIRES GESTION 6.25% pour la période du  01/11/2025 au 30/11/2025</v>
      </c>
      <c r="H30">
        <f>+H29+H28</f>
        <v>289.82</v>
      </c>
    </row>
    <row r="31" spans="3:8" x14ac:dyDescent="0.3">
      <c r="C31" t="str">
        <f t="shared" si="2"/>
        <v>HONORAIRES GESTION 6.25% pour la période du</v>
      </c>
      <c r="D31" t="s">
        <v>38</v>
      </c>
      <c r="E31" t="str">
        <f t="shared" si="1"/>
        <v>HONORAIRES GESTION 6.25% pour la période du  01/12/2025 au 31/12/2025</v>
      </c>
    </row>
    <row r="33" spans="3:5" x14ac:dyDescent="0.3">
      <c r="C33" s="1"/>
      <c r="D33" t="s">
        <v>27</v>
      </c>
      <c r="E33" t="str">
        <f t="shared" ref="E33:E44" si="3">+C33&amp;D33</f>
        <v xml:space="preserve">  01/01/2025 au 31/01/2025</v>
      </c>
    </row>
    <row r="34" spans="3:5" x14ac:dyDescent="0.3">
      <c r="C34">
        <f>+$C$33</f>
        <v>0</v>
      </c>
      <c r="D34" t="s">
        <v>28</v>
      </c>
      <c r="E34" t="str">
        <f t="shared" si="3"/>
        <v>0  01/02/2025 au 28/02/2025</v>
      </c>
    </row>
    <row r="35" spans="3:5" x14ac:dyDescent="0.3">
      <c r="C35">
        <f t="shared" ref="C35:C44" si="4">+$C$33</f>
        <v>0</v>
      </c>
      <c r="D35" t="s">
        <v>29</v>
      </c>
      <c r="E35" t="str">
        <f t="shared" si="3"/>
        <v>0  01/03/2025 au 31/03/2025</v>
      </c>
    </row>
    <row r="36" spans="3:5" x14ac:dyDescent="0.3">
      <c r="C36">
        <f t="shared" si="4"/>
        <v>0</v>
      </c>
      <c r="D36" t="s">
        <v>30</v>
      </c>
      <c r="E36" t="str">
        <f t="shared" si="3"/>
        <v>0  01/04/2025 au 30/04/2025</v>
      </c>
    </row>
    <row r="37" spans="3:5" x14ac:dyDescent="0.3">
      <c r="C37">
        <f t="shared" si="4"/>
        <v>0</v>
      </c>
      <c r="D37" t="s">
        <v>31</v>
      </c>
      <c r="E37" t="str">
        <f t="shared" si="3"/>
        <v>0  01/05/2025 au 31/05/2025</v>
      </c>
    </row>
    <row r="38" spans="3:5" x14ac:dyDescent="0.3">
      <c r="C38">
        <f t="shared" si="4"/>
        <v>0</v>
      </c>
      <c r="D38" t="s">
        <v>32</v>
      </c>
      <c r="E38" t="str">
        <f t="shared" si="3"/>
        <v>0  01/06/2025 au 30/06/2025</v>
      </c>
    </row>
    <row r="39" spans="3:5" x14ac:dyDescent="0.3">
      <c r="C39">
        <f t="shared" si="4"/>
        <v>0</v>
      </c>
      <c r="D39" t="s">
        <v>33</v>
      </c>
      <c r="E39" t="str">
        <f t="shared" si="3"/>
        <v>0  01/07/2025 au 31/07/2025</v>
      </c>
    </row>
    <row r="40" spans="3:5" x14ac:dyDescent="0.3">
      <c r="C40">
        <f t="shared" si="4"/>
        <v>0</v>
      </c>
      <c r="D40" t="s">
        <v>34</v>
      </c>
      <c r="E40" t="str">
        <f t="shared" si="3"/>
        <v>0  01/08/2025 au 31/08/2025</v>
      </c>
    </row>
    <row r="41" spans="3:5" x14ac:dyDescent="0.3">
      <c r="C41">
        <f t="shared" si="4"/>
        <v>0</v>
      </c>
      <c r="D41" t="s">
        <v>35</v>
      </c>
      <c r="E41" t="str">
        <f t="shared" si="3"/>
        <v>0  01/09/2025 au 30/09/2025</v>
      </c>
    </row>
    <row r="42" spans="3:5" x14ac:dyDescent="0.3">
      <c r="C42">
        <f t="shared" si="4"/>
        <v>0</v>
      </c>
      <c r="D42" t="s">
        <v>36</v>
      </c>
      <c r="E42" t="str">
        <f t="shared" si="3"/>
        <v>0  01/10/2025 au 31/10/2025</v>
      </c>
    </row>
    <row r="43" spans="3:5" x14ac:dyDescent="0.3">
      <c r="C43">
        <f t="shared" si="4"/>
        <v>0</v>
      </c>
      <c r="D43" t="s">
        <v>37</v>
      </c>
      <c r="E43" t="str">
        <f t="shared" si="3"/>
        <v>0  01/11/2025 au 30/11/2025</v>
      </c>
    </row>
    <row r="44" spans="3:5" x14ac:dyDescent="0.3">
      <c r="C44">
        <f t="shared" si="4"/>
        <v>0</v>
      </c>
      <c r="D44" t="s">
        <v>38</v>
      </c>
      <c r="E44" t="str">
        <f t="shared" si="3"/>
        <v>0  01/12/2025 au 31/12/2025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2411-5D74-4E90-A96F-79C6971FBB26}">
  <dimension ref="C5:E30"/>
  <sheetViews>
    <sheetView workbookViewId="0">
      <selection activeCell="D21" sqref="D21"/>
    </sheetView>
  </sheetViews>
  <sheetFormatPr baseColWidth="10" defaultRowHeight="14.4" x14ac:dyDescent="0.3"/>
  <cols>
    <col min="3" max="3" width="25.109375" customWidth="1"/>
    <col min="4" max="4" width="42.109375" bestFit="1" customWidth="1"/>
    <col min="5" max="5" width="57.6640625" bestFit="1" customWidth="1"/>
  </cols>
  <sheetData>
    <row r="5" spans="3:5" x14ac:dyDescent="0.3">
      <c r="C5" s="1" t="s">
        <v>26</v>
      </c>
      <c r="D5" t="s">
        <v>0</v>
      </c>
      <c r="E5" t="str">
        <f>+C5&amp;D5</f>
        <v>Mr et Mme PAUTTE Benoît  LOYER PRINCIPAL (01/01/2025 - 31/01/2025)</v>
      </c>
    </row>
    <row r="6" spans="3:5" x14ac:dyDescent="0.3">
      <c r="C6" t="str">
        <f>+$C$5</f>
        <v xml:space="preserve">Mr et Mme PAUTTE Benoît </v>
      </c>
      <c r="D6" t="s">
        <v>1</v>
      </c>
      <c r="E6" t="str">
        <f t="shared" ref="E6:E30" si="0">+C6&amp;D6</f>
        <v>Mr et Mme PAUTTE Benoît  LOYER PRINCIPAL (01/02/2025 - 28/02/2025)</v>
      </c>
    </row>
    <row r="7" spans="3:5" x14ac:dyDescent="0.3">
      <c r="C7" t="str">
        <f t="shared" ref="C7:C30" si="1">+$C$5</f>
        <v xml:space="preserve">Mr et Mme PAUTTE Benoît </v>
      </c>
      <c r="D7" t="s">
        <v>2</v>
      </c>
      <c r="E7" t="str">
        <f t="shared" si="0"/>
        <v>Mr et Mme PAUTTE Benoît  LOYER PRINCIPAL (01/03/2025 - 31/03/2025)</v>
      </c>
    </row>
    <row r="8" spans="3:5" x14ac:dyDescent="0.3">
      <c r="C8" t="str">
        <f t="shared" si="1"/>
        <v xml:space="preserve">Mr et Mme PAUTTE Benoît </v>
      </c>
      <c r="D8" t="s">
        <v>3</v>
      </c>
      <c r="E8" t="str">
        <f t="shared" si="0"/>
        <v>Mr et Mme PAUTTE Benoît  LOYER PRINCIPAL (01/04/2025 - 30/04/2025)</v>
      </c>
    </row>
    <row r="9" spans="3:5" x14ac:dyDescent="0.3">
      <c r="C9" t="str">
        <f t="shared" si="1"/>
        <v xml:space="preserve">Mr et Mme PAUTTE Benoît </v>
      </c>
      <c r="D9" t="s">
        <v>4</v>
      </c>
      <c r="E9" t="str">
        <f t="shared" si="0"/>
        <v>Mr et Mme PAUTTE Benoît  LOYER PRINCIPAL (01/05/2025 - 31/05/2025)</v>
      </c>
    </row>
    <row r="10" spans="3:5" x14ac:dyDescent="0.3">
      <c r="C10" t="str">
        <f t="shared" si="1"/>
        <v xml:space="preserve">Mr et Mme PAUTTE Benoît </v>
      </c>
      <c r="D10" t="s">
        <v>5</v>
      </c>
      <c r="E10" t="str">
        <f t="shared" si="0"/>
        <v>Mr et Mme PAUTTE Benoît  LOYER PRINCIPAL (01/06/2025 - 30/06/2025)</v>
      </c>
    </row>
    <row r="11" spans="3:5" x14ac:dyDescent="0.3">
      <c r="C11" t="str">
        <f t="shared" si="1"/>
        <v xml:space="preserve">Mr et Mme PAUTTE Benoît </v>
      </c>
      <c r="D11" t="s">
        <v>6</v>
      </c>
      <c r="E11" t="str">
        <f t="shared" si="0"/>
        <v>Mr et Mme PAUTTE Benoît  LOYER PRINCIPAL (01/07/2025 - 31/07/2025)</v>
      </c>
    </row>
    <row r="12" spans="3:5" x14ac:dyDescent="0.3">
      <c r="C12" t="str">
        <f t="shared" si="1"/>
        <v xml:space="preserve">Mr et Mme PAUTTE Benoît </v>
      </c>
      <c r="D12" t="s">
        <v>7</v>
      </c>
      <c r="E12" t="str">
        <f t="shared" si="0"/>
        <v>Mr et Mme PAUTTE Benoît  LOYER PRINCIPAL (01/08/2025 - 31/08/2025)</v>
      </c>
    </row>
    <row r="13" spans="3:5" x14ac:dyDescent="0.3">
      <c r="C13" t="str">
        <f t="shared" si="1"/>
        <v xml:space="preserve">Mr et Mme PAUTTE Benoît </v>
      </c>
      <c r="D13" t="s">
        <v>8</v>
      </c>
      <c r="E13" t="str">
        <f t="shared" si="0"/>
        <v>Mr et Mme PAUTTE Benoît  LOYER PRINCIPAL (01/09/2025 - 30/09/2025)</v>
      </c>
    </row>
    <row r="14" spans="3:5" x14ac:dyDescent="0.3">
      <c r="C14" t="str">
        <f t="shared" si="1"/>
        <v xml:space="preserve">Mr et Mme PAUTTE Benoît </v>
      </c>
      <c r="D14" t="s">
        <v>9</v>
      </c>
      <c r="E14" t="str">
        <f t="shared" si="0"/>
        <v>Mr et Mme PAUTTE Benoît  LOYER PRINCIPAL (01/10/2025 - 31/10/2025)</v>
      </c>
    </row>
    <row r="15" spans="3:5" x14ac:dyDescent="0.3">
      <c r="C15" t="str">
        <f t="shared" si="1"/>
        <v xml:space="preserve">Mr et Mme PAUTTE Benoît </v>
      </c>
      <c r="D15" t="s">
        <v>10</v>
      </c>
      <c r="E15" t="str">
        <f t="shared" si="0"/>
        <v>Mr et Mme PAUTTE Benoît  LOYER PRINCIPAL (01/11/2025 - 30/11/2025)</v>
      </c>
    </row>
    <row r="16" spans="3:5" x14ac:dyDescent="0.3">
      <c r="C16" t="str">
        <f t="shared" si="1"/>
        <v xml:space="preserve">Mr et Mme PAUTTE Benoît </v>
      </c>
      <c r="D16" t="s">
        <v>11</v>
      </c>
      <c r="E16" t="str">
        <f t="shared" si="0"/>
        <v>Mr et Mme PAUTTE Benoît  LOYER PRINCIPAL (01/12/2025 - 31/12/2025)</v>
      </c>
    </row>
    <row r="17" spans="3:5" x14ac:dyDescent="0.3">
      <c r="C17" t="str">
        <f t="shared" si="1"/>
        <v xml:space="preserve">Mr et Mme PAUTTE Benoît </v>
      </c>
      <c r="D17" t="s">
        <v>12</v>
      </c>
      <c r="E17" t="str">
        <f t="shared" si="0"/>
        <v>Mr et Mme PAUTTE Benoît  PROVISIONS CHARGES (01/01/2025 - 31/01/2025)</v>
      </c>
    </row>
    <row r="18" spans="3:5" x14ac:dyDescent="0.3">
      <c r="C18" t="str">
        <f t="shared" si="1"/>
        <v xml:space="preserve">Mr et Mme PAUTTE Benoît </v>
      </c>
      <c r="D18" t="s">
        <v>13</v>
      </c>
      <c r="E18" t="str">
        <f t="shared" si="0"/>
        <v>Mr et Mme PAUTTE Benoît  PROVISIONS CHARGES (01/02/2025 - 28/02/2025)</v>
      </c>
    </row>
    <row r="19" spans="3:5" x14ac:dyDescent="0.3">
      <c r="C19" t="str">
        <f t="shared" si="1"/>
        <v xml:space="preserve">Mr et Mme PAUTTE Benoît </v>
      </c>
      <c r="D19" t="s">
        <v>14</v>
      </c>
      <c r="E19" t="str">
        <f t="shared" si="0"/>
        <v>Mr et Mme PAUTTE Benoît  PROVISIONS CHARGES (01/03/2025 - 31/03/2025)</v>
      </c>
    </row>
    <row r="20" spans="3:5" x14ac:dyDescent="0.3">
      <c r="C20" t="str">
        <f t="shared" si="1"/>
        <v xml:space="preserve">Mr et Mme PAUTTE Benoît </v>
      </c>
      <c r="D20" t="s">
        <v>15</v>
      </c>
      <c r="E20" t="str">
        <f t="shared" si="0"/>
        <v>Mr et Mme PAUTTE Benoît  PROVISIONS CHARGES (01/04/2025 - 30/04/2025)</v>
      </c>
    </row>
    <row r="21" spans="3:5" x14ac:dyDescent="0.3">
      <c r="C21" t="str">
        <f t="shared" si="1"/>
        <v xml:space="preserve">Mr et Mme PAUTTE Benoît </v>
      </c>
      <c r="D21" t="s">
        <v>16</v>
      </c>
      <c r="E21" t="str">
        <f t="shared" si="0"/>
        <v>Mr et Mme PAUTTE Benoît  PROVISIONS CHARGES (01/05/2025 - 31/05/2025)</v>
      </c>
    </row>
    <row r="22" spans="3:5" x14ac:dyDescent="0.3">
      <c r="C22" t="str">
        <f t="shared" si="1"/>
        <v xml:space="preserve">Mr et Mme PAUTTE Benoît </v>
      </c>
      <c r="D22" t="s">
        <v>24</v>
      </c>
      <c r="E22" t="str">
        <f>+C22&amp;D22</f>
        <v>Mr et Mme PAUTTE Benoît  REGULARISATION DES CHARGES (01/01/2024 - 31/12/2024)</v>
      </c>
    </row>
    <row r="23" spans="3:5" x14ac:dyDescent="0.3">
      <c r="C23" t="str">
        <f t="shared" si="1"/>
        <v xml:space="preserve">Mr et Mme PAUTTE Benoît </v>
      </c>
      <c r="D23" t="s">
        <v>25</v>
      </c>
      <c r="E23" t="str">
        <f>+C23&amp;D23</f>
        <v>Mr et Mme PAUTTE Benoît  REGULARISATION DES CHARGES (01/01/2025 - 31/12/2025)</v>
      </c>
    </row>
    <row r="24" spans="3:5" x14ac:dyDescent="0.3">
      <c r="C24" t="str">
        <f t="shared" si="1"/>
        <v xml:space="preserve">Mr et Mme PAUTTE Benoît </v>
      </c>
      <c r="D24" t="s">
        <v>17</v>
      </c>
      <c r="E24" t="str">
        <f t="shared" si="0"/>
        <v>Mr et Mme PAUTTE Benoît  PROVISIONS CHARGES (01/06/2025 - 30/06/2025)</v>
      </c>
    </row>
    <row r="25" spans="3:5" x14ac:dyDescent="0.3">
      <c r="C25" t="str">
        <f t="shared" si="1"/>
        <v xml:space="preserve">Mr et Mme PAUTTE Benoît </v>
      </c>
      <c r="D25" t="s">
        <v>18</v>
      </c>
      <c r="E25" t="str">
        <f t="shared" si="0"/>
        <v>Mr et Mme PAUTTE Benoît  PROVISIONS CHARGES (01/07/2025 - 31/07/2025)</v>
      </c>
    </row>
    <row r="26" spans="3:5" x14ac:dyDescent="0.3">
      <c r="C26" t="str">
        <f t="shared" si="1"/>
        <v xml:space="preserve">Mr et Mme PAUTTE Benoît </v>
      </c>
      <c r="D26" t="s">
        <v>19</v>
      </c>
      <c r="E26" t="str">
        <f t="shared" si="0"/>
        <v>Mr et Mme PAUTTE Benoît  PROVISIONS CHARGES (01/08/2025 - 31/08/2025)</v>
      </c>
    </row>
    <row r="27" spans="3:5" x14ac:dyDescent="0.3">
      <c r="C27" t="str">
        <f t="shared" si="1"/>
        <v xml:space="preserve">Mr et Mme PAUTTE Benoît </v>
      </c>
      <c r="D27" t="s">
        <v>20</v>
      </c>
      <c r="E27" t="str">
        <f t="shared" si="0"/>
        <v>Mr et Mme PAUTTE Benoît  PROVISIONS CHARGES (01/09/2025 - 30/09/2025)</v>
      </c>
    </row>
    <row r="28" spans="3:5" x14ac:dyDescent="0.3">
      <c r="C28" t="str">
        <f t="shared" si="1"/>
        <v xml:space="preserve">Mr et Mme PAUTTE Benoît </v>
      </c>
      <c r="D28" t="s">
        <v>21</v>
      </c>
      <c r="E28" t="str">
        <f t="shared" si="0"/>
        <v>Mr et Mme PAUTTE Benoît  PROVISIONS CHARGES (01/10/2025 - 31/10/2025)</v>
      </c>
    </row>
    <row r="29" spans="3:5" x14ac:dyDescent="0.3">
      <c r="C29" t="str">
        <f t="shared" si="1"/>
        <v xml:space="preserve">Mr et Mme PAUTTE Benoît </v>
      </c>
      <c r="D29" t="s">
        <v>22</v>
      </c>
      <c r="E29" t="str">
        <f t="shared" si="0"/>
        <v>Mr et Mme PAUTTE Benoît  PROVISIONS CHARGES (01/11/2025 - 30/11/2025)</v>
      </c>
    </row>
    <row r="30" spans="3:5" x14ac:dyDescent="0.3">
      <c r="C30" t="str">
        <f t="shared" si="1"/>
        <v xml:space="preserve">Mr et Mme PAUTTE Benoît </v>
      </c>
      <c r="D30" t="s">
        <v>23</v>
      </c>
      <c r="E30" t="str">
        <f t="shared" si="0"/>
        <v>Mr et Mme PAUTTE Benoît  PROVISIONS CHARGES (01/12/2025 - 31/12/2025)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058E-5775-4814-9F7B-651FBAB4EE81}">
  <dimension ref="C5:H30"/>
  <sheetViews>
    <sheetView tabSelected="1" topLeftCell="B4" workbookViewId="0">
      <selection activeCell="H10" sqref="H10"/>
    </sheetView>
  </sheetViews>
  <sheetFormatPr baseColWidth="10" defaultRowHeight="14.4" x14ac:dyDescent="0.3"/>
  <cols>
    <col min="3" max="3" width="25.109375" customWidth="1"/>
    <col min="4" max="4" width="59" customWidth="1"/>
    <col min="5" max="5" width="57.6640625" bestFit="1" customWidth="1"/>
  </cols>
  <sheetData>
    <row r="5" spans="3:8" x14ac:dyDescent="0.3">
      <c r="C5" s="1" t="s">
        <v>42</v>
      </c>
      <c r="D5" t="s">
        <v>0</v>
      </c>
      <c r="E5" t="str">
        <f>+C5&amp;D5</f>
        <v>ASSOCIATION CESAP LOYER PRINCIPAL (01/01/2025 - 31/01/2025)</v>
      </c>
    </row>
    <row r="6" spans="3:8" x14ac:dyDescent="0.3">
      <c r="C6" t="str">
        <f>+$C$5</f>
        <v>ASSOCIATION CESAP</v>
      </c>
      <c r="D6" t="s">
        <v>1</v>
      </c>
      <c r="E6" t="str">
        <f t="shared" ref="E6:E11" si="0">+C6&amp;D6</f>
        <v>ASSOCIATION CESAP LOYER PRINCIPAL (01/02/2025 - 28/02/2025)</v>
      </c>
    </row>
    <row r="7" spans="3:8" x14ac:dyDescent="0.3">
      <c r="C7" t="str">
        <f t="shared" ref="C7:C30" si="1">+$C$5</f>
        <v>ASSOCIATION CESAP</v>
      </c>
      <c r="D7" t="s">
        <v>2</v>
      </c>
      <c r="E7" t="str">
        <f t="shared" si="0"/>
        <v>ASSOCIATION CESAP LOYER PRINCIPAL (01/03/2025 - 31/03/2025)</v>
      </c>
    </row>
    <row r="8" spans="3:8" x14ac:dyDescent="0.3">
      <c r="C8" t="str">
        <f t="shared" si="1"/>
        <v>ASSOCIATION CESAP</v>
      </c>
      <c r="D8" t="s">
        <v>3</v>
      </c>
      <c r="E8" t="str">
        <f t="shared" si="0"/>
        <v>ASSOCIATION CESAP LOYER PRINCIPAL (01/04/2025 - 30/04/2025)</v>
      </c>
      <c r="H8">
        <v>272.04000000000002</v>
      </c>
    </row>
    <row r="9" spans="3:8" x14ac:dyDescent="0.3">
      <c r="C9" t="str">
        <f t="shared" si="1"/>
        <v>ASSOCIATION CESAP</v>
      </c>
      <c r="D9" t="s">
        <v>4</v>
      </c>
      <c r="E9" t="str">
        <f t="shared" si="0"/>
        <v>ASSOCIATION CESAP LOYER PRINCIPAL (01/05/2025 - 31/05/2025)</v>
      </c>
      <c r="H9">
        <v>54.41</v>
      </c>
    </row>
    <row r="10" spans="3:8" x14ac:dyDescent="0.3">
      <c r="C10" t="str">
        <f t="shared" si="1"/>
        <v>ASSOCIATION CESAP</v>
      </c>
      <c r="D10" t="s">
        <v>5</v>
      </c>
      <c r="E10" t="str">
        <f t="shared" si="0"/>
        <v>ASSOCIATION CESAP LOYER PRINCIPAL (01/06/2025 - 30/06/2025)</v>
      </c>
      <c r="H10">
        <f>+H9+H8</f>
        <v>326.45000000000005</v>
      </c>
    </row>
    <row r="11" spans="3:8" x14ac:dyDescent="0.3">
      <c r="C11" t="str">
        <f t="shared" si="1"/>
        <v>ASSOCIATION CESAP</v>
      </c>
      <c r="D11" t="s">
        <v>43</v>
      </c>
      <c r="E11" t="str">
        <f t="shared" si="0"/>
        <v>ASSOCIATION CESAP LOYER PRINCIPAL (01/07/2025 - 30/09/2025)</v>
      </c>
    </row>
    <row r="12" spans="3:8" x14ac:dyDescent="0.3">
      <c r="C12" t="str">
        <f t="shared" si="1"/>
        <v>ASSOCIATION CESAP</v>
      </c>
      <c r="D12" t="s">
        <v>44</v>
      </c>
      <c r="E12" t="str">
        <f>+C12&amp;D12</f>
        <v>ASSOCIATION CESAP LOYER PRINCIPAL (01/10/2025 - 31/12/2025)</v>
      </c>
    </row>
    <row r="13" spans="3:8" x14ac:dyDescent="0.3">
      <c r="C13" t="str">
        <f t="shared" si="1"/>
        <v>ASSOCIATION CESAP</v>
      </c>
      <c r="D13" t="s">
        <v>12</v>
      </c>
      <c r="E13" t="str">
        <f>+C13&amp;D13</f>
        <v>ASSOCIATION CESAP PROVISIONS CHARGES (01/01/2025 - 31/01/2025)</v>
      </c>
    </row>
    <row r="14" spans="3:8" x14ac:dyDescent="0.3">
      <c r="C14" t="str">
        <f t="shared" si="1"/>
        <v>ASSOCIATION CESAP</v>
      </c>
      <c r="D14" t="s">
        <v>13</v>
      </c>
      <c r="E14" t="str">
        <f>+C14&amp;D14</f>
        <v>ASSOCIATION CESAP PROVISIONS CHARGES (01/02/2025 - 28/02/2025)</v>
      </c>
    </row>
    <row r="15" spans="3:8" x14ac:dyDescent="0.3">
      <c r="C15" t="str">
        <f t="shared" si="1"/>
        <v>ASSOCIATION CESAP</v>
      </c>
      <c r="D15" t="s">
        <v>14</v>
      </c>
      <c r="E15" t="str">
        <f>+C15&amp;D15</f>
        <v>ASSOCIATION CESAP PROVISIONS CHARGES (01/03/2025 - 31/03/2025)</v>
      </c>
    </row>
    <row r="16" spans="3:8" x14ac:dyDescent="0.3">
      <c r="C16" t="str">
        <f t="shared" si="1"/>
        <v>ASSOCIATION CESAP</v>
      </c>
      <c r="D16" t="s">
        <v>15</v>
      </c>
      <c r="E16" t="str">
        <f>+C16&amp;D16</f>
        <v>ASSOCIATION CESAP PROVISIONS CHARGES (01/04/2025 - 30/04/2025)</v>
      </c>
    </row>
    <row r="17" spans="3:5" x14ac:dyDescent="0.3">
      <c r="C17" t="str">
        <f t="shared" si="1"/>
        <v>ASSOCIATION CESAP</v>
      </c>
      <c r="D17" t="s">
        <v>16</v>
      </c>
      <c r="E17" t="str">
        <f>+C17&amp;D17</f>
        <v>ASSOCIATION CESAP PROVISIONS CHARGES (01/05/2025 - 31/05/2025)</v>
      </c>
    </row>
    <row r="18" spans="3:5" x14ac:dyDescent="0.3">
      <c r="C18" t="str">
        <f t="shared" si="1"/>
        <v>ASSOCIATION CESAP</v>
      </c>
      <c r="D18" t="s">
        <v>24</v>
      </c>
      <c r="E18" t="str">
        <f>+C18&amp;D18</f>
        <v>ASSOCIATION CESAP REGULARISATION DES CHARGES (01/01/2024 - 31/12/2024)</v>
      </c>
    </row>
    <row r="19" spans="3:5" x14ac:dyDescent="0.3">
      <c r="C19" t="str">
        <f t="shared" si="1"/>
        <v>ASSOCIATION CESAP</v>
      </c>
      <c r="D19" t="s">
        <v>25</v>
      </c>
      <c r="E19" t="str">
        <f>+C19&amp;D19</f>
        <v>ASSOCIATION CESAP REGULARISATION DES CHARGES (01/01/2025 - 31/12/2025)</v>
      </c>
    </row>
    <row r="20" spans="3:5" x14ac:dyDescent="0.3">
      <c r="C20" t="str">
        <f t="shared" si="1"/>
        <v>ASSOCIATION CESAP</v>
      </c>
      <c r="D20" t="s">
        <v>17</v>
      </c>
      <c r="E20" t="str">
        <f>+C20&amp;D20</f>
        <v>ASSOCIATION CESAP PROVISIONS CHARGES (01/06/2025 - 30/06/2025)</v>
      </c>
    </row>
    <row r="21" spans="3:5" x14ac:dyDescent="0.3">
      <c r="C21" t="str">
        <f t="shared" si="1"/>
        <v>ASSOCIATION CESAP</v>
      </c>
      <c r="D21" t="s">
        <v>46</v>
      </c>
      <c r="E21" t="str">
        <f>+C21&amp;D21</f>
        <v>ASSOCIATION CESAP PROVISIONS CHARGES (01/07/2025 - 30/09/2025)</v>
      </c>
    </row>
    <row r="22" spans="3:5" x14ac:dyDescent="0.3">
      <c r="C22" t="str">
        <f t="shared" si="1"/>
        <v>ASSOCIATION CESAP</v>
      </c>
      <c r="D22" t="s">
        <v>45</v>
      </c>
      <c r="E22" t="str">
        <f>+C22&amp;D22</f>
        <v>ASSOCIATION CESAP PROVISIONS CHARGES (01/10/2025 - 31/12/2025)</v>
      </c>
    </row>
    <row r="23" spans="3:5" x14ac:dyDescent="0.3">
      <c r="C23" t="str">
        <f t="shared" si="1"/>
        <v>ASSOCIATION CESAP</v>
      </c>
      <c r="D23" t="s">
        <v>47</v>
      </c>
      <c r="E23" t="str">
        <f>+C23&amp;D23</f>
        <v>ASSOCIATION CESAP HONORAIRES GESTION 6.25% pour la période du  01/01/2025 au 31/01/2025</v>
      </c>
    </row>
    <row r="24" spans="3:5" x14ac:dyDescent="0.3">
      <c r="C24" t="str">
        <f>+$C$5</f>
        <v>ASSOCIATION CESAP</v>
      </c>
      <c r="D24" t="s">
        <v>48</v>
      </c>
      <c r="E24" t="str">
        <f t="shared" ref="E24:E29" si="2">+C24&amp;D24</f>
        <v>ASSOCIATION CESAP HONORAIRES GESTION 6.25% pour la période du  01/02/2025 au 28/02/2025</v>
      </c>
    </row>
    <row r="25" spans="3:5" x14ac:dyDescent="0.3">
      <c r="C25" t="str">
        <f t="shared" si="1"/>
        <v>ASSOCIATION CESAP</v>
      </c>
      <c r="D25" t="s">
        <v>49</v>
      </c>
      <c r="E25" t="str">
        <f t="shared" si="2"/>
        <v>ASSOCIATION CESAP HONORAIRES GESTION 6.25% pour la période du  01/03/2025 au 31/03/2025</v>
      </c>
    </row>
    <row r="26" spans="3:5" x14ac:dyDescent="0.3">
      <c r="C26" t="str">
        <f t="shared" si="1"/>
        <v>ASSOCIATION CESAP</v>
      </c>
      <c r="D26" t="s">
        <v>50</v>
      </c>
      <c r="E26" t="str">
        <f t="shared" si="2"/>
        <v>ASSOCIATION CESAP HONORAIRES GESTION 6.25% pour la période du  01/04/2025 au 30/04/2025</v>
      </c>
    </row>
    <row r="27" spans="3:5" x14ac:dyDescent="0.3">
      <c r="C27" t="str">
        <f t="shared" si="1"/>
        <v>ASSOCIATION CESAP</v>
      </c>
      <c r="D27" t="s">
        <v>51</v>
      </c>
      <c r="E27" t="str">
        <f t="shared" si="2"/>
        <v>ASSOCIATION CESAP HONORAIRES GESTION 6.25% pour la période du  01/05/2025 au 31/05/2025</v>
      </c>
    </row>
    <row r="28" spans="3:5" x14ac:dyDescent="0.3">
      <c r="C28" t="str">
        <f t="shared" si="1"/>
        <v>ASSOCIATION CESAP</v>
      </c>
      <c r="D28" t="s">
        <v>52</v>
      </c>
      <c r="E28" t="str">
        <f t="shared" si="2"/>
        <v>ASSOCIATION CESAP HONORAIRES GESTION 6.25% pour la période du  01/06/2025 au 30/06/2025</v>
      </c>
    </row>
    <row r="29" spans="3:5" x14ac:dyDescent="0.3">
      <c r="C29" t="str">
        <f t="shared" si="1"/>
        <v>ASSOCIATION CESAP</v>
      </c>
      <c r="D29" t="s">
        <v>53</v>
      </c>
      <c r="E29" t="str">
        <f t="shared" si="2"/>
        <v>ASSOCIATION CESAP HONORAIRES GESTION 6.25% pour la période du  01/07/2025 au 30/09/2025</v>
      </c>
    </row>
    <row r="30" spans="3:5" x14ac:dyDescent="0.3">
      <c r="C30" t="str">
        <f t="shared" si="1"/>
        <v>ASSOCIATION CESAP</v>
      </c>
      <c r="D30" t="s">
        <v>54</v>
      </c>
      <c r="E30" t="str">
        <f>+C30&amp;D30</f>
        <v>ASSOCIATION CESAP HONORAIRES GESTION 6.25% pour la période du  01/10/2025 au 31/12/2025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dépenses</vt:lpstr>
      <vt:lpstr>loyer+charges</vt:lpstr>
      <vt:lpstr>loyer+charges (CESAP)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Ichiaka KONE</dc:creator>
  <cp:lastModifiedBy>Ichiaka KONE</cp:lastModifiedBy>
  <dcterms:created xsi:type="dcterms:W3CDTF">2025-12-24T10:00:24Z</dcterms:created>
  <dcterms:modified xsi:type="dcterms:W3CDTF">2025-12-24T15:44:28Z</dcterms:modified>
</cp:coreProperties>
</file>