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lu\AppData\Roaming\iManage\Work\Recent\CANAILLES_MISSION FISCALITE LOCALE (092264.0003)\"/>
    </mc:Choice>
  </mc:AlternateContent>
  <xr:revisionPtr revIDLastSave="0" documentId="13_ncr:1_{3B647095-B6D8-4433-A5B5-DD5BC90F326A}" xr6:coauthVersionLast="47" xr6:coauthVersionMax="47" xr10:uidLastSave="{00000000-0000-0000-0000-000000000000}"/>
  <bookViews>
    <workbookView xWindow="6060" yWindow="2385" windowWidth="21510" windowHeight="16200" xr2:uid="{00000000-000D-0000-FFFF-FFFF00000000}"/>
  </bookViews>
  <sheets>
    <sheet name="Annexes CBD et 6660 REV" sheetId="1" r:id="rId1"/>
  </sheets>
  <definedNames>
    <definedName name="_xlnm.Print_Area" localSheetId="0">'Annexes CBD et 6660 REV'!$A$1:$M$29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1" l="1"/>
  <c r="J18" i="1"/>
  <c r="J20" i="1"/>
  <c r="I20" i="1"/>
  <c r="H20" i="1"/>
  <c r="F20" i="1"/>
  <c r="E20" i="1"/>
  <c r="D20" i="1"/>
  <c r="C20" i="1"/>
  <c r="B20" i="1"/>
  <c r="L20" i="1" s="1"/>
  <c r="E26" i="1"/>
  <c r="I18" i="1"/>
  <c r="H18" i="1"/>
  <c r="G18" i="1"/>
  <c r="E25" i="1" s="1"/>
  <c r="F18" i="1"/>
  <c r="E18" i="1"/>
  <c r="E24" i="1" s="1"/>
  <c r="E27" i="1" l="1"/>
  <c r="E28" i="1" s="1"/>
  <c r="L18" i="1" l="1"/>
</calcChain>
</file>

<file path=xl/sharedStrings.xml><?xml version="1.0" encoding="utf-8"?>
<sst xmlns="http://schemas.openxmlformats.org/spreadsheetml/2006/main" count="56" uniqueCount="50">
  <si>
    <t>Légende pour la déclaration 6660-REV :</t>
  </si>
  <si>
    <t>P1 (partie principale) :</t>
  </si>
  <si>
    <t>m²</t>
  </si>
  <si>
    <t>P2 (partie secondaire couverte) :</t>
  </si>
  <si>
    <t>P3 (partie secondaire non couverte) :</t>
  </si>
  <si>
    <t>PK2 (parkings non couverts) :</t>
  </si>
  <si>
    <t>TOTAL</t>
  </si>
  <si>
    <t>désignation</t>
  </si>
  <si>
    <t>Répartition de la superficie réelle</t>
  </si>
  <si>
    <t>des éléments</t>
  </si>
  <si>
    <t>locaux</t>
  </si>
  <si>
    <t>locaux de change</t>
  </si>
  <si>
    <t>En m² réels</t>
  </si>
  <si>
    <t>et de préparation</t>
  </si>
  <si>
    <t>Adresse du bien</t>
  </si>
  <si>
    <t>Activité</t>
  </si>
  <si>
    <t>Crèche</t>
  </si>
  <si>
    <t>personnel</t>
  </si>
  <si>
    <t>et d'entretien</t>
  </si>
  <si>
    <t>au personnel</t>
  </si>
  <si>
    <t>réservés au</t>
  </si>
  <si>
    <t>seulement</t>
  </si>
  <si>
    <t>accessibles au</t>
  </si>
  <si>
    <t xml:space="preserve">accessible </t>
  </si>
  <si>
    <t>rez-de-chaussée</t>
  </si>
  <si>
    <t>publiques</t>
  </si>
  <si>
    <t>ANNEXE A LA DECLARATION 6660-REV</t>
  </si>
  <si>
    <t>Bureau</t>
  </si>
  <si>
    <t xml:space="preserve">de </t>
  </si>
  <si>
    <t>direction</t>
  </si>
  <si>
    <t>Salles</t>
  </si>
  <si>
    <t>Biberonnerie</t>
  </si>
  <si>
    <t xml:space="preserve">Sanitaires et </t>
  </si>
  <si>
    <t>Réserves</t>
  </si>
  <si>
    <t>Locaux techniques</t>
  </si>
  <si>
    <t xml:space="preserve">SAS et Hall </t>
  </si>
  <si>
    <t xml:space="preserve">d'entrée </t>
  </si>
  <si>
    <t xml:space="preserve">et WC </t>
  </si>
  <si>
    <t>Espace extérieur</t>
  </si>
  <si>
    <t>stationnement</t>
  </si>
  <si>
    <t>de repos</t>
  </si>
  <si>
    <t>Activités</t>
  </si>
  <si>
    <t>Exploitant</t>
  </si>
  <si>
    <t xml:space="preserve">Propriétaire  </t>
  </si>
  <si>
    <t xml:space="preserve">Surface de </t>
  </si>
  <si>
    <t>34, rue Haute</t>
  </si>
  <si>
    <t>DEUIL-LA-BARRE (95)</t>
  </si>
  <si>
    <t>SCI 34 RUE HAUTE</t>
  </si>
  <si>
    <t>rez-de-jardin</t>
  </si>
  <si>
    <t>LPC VAL D'OISE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</si>
</sst>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6"/>
      <color rgb="FFFF000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3" fontId="7" fillId="2" borderId="0" xfId="0" applyNumberFormat="1" applyFont="1" applyFill="1" applyBorder="1"/>
    <xf numFmtId="0" fontId="7" fillId="2" borderId="0" xfId="0" applyFont="1" applyFill="1" applyBorder="1"/>
    <xf numFmtId="14" fontId="3" fillId="0" borderId="0" xfId="0" applyNumberFormat="1" applyFont="1" applyFill="1" applyBorder="1" applyAlignment="1">
      <alignment horizontal="center"/>
    </xf>
    <xf numFmtId="0" fontId="0" fillId="3" borderId="0" xfId="0" applyFill="1" applyBorder="1"/>
    <xf numFmtId="3" fontId="7" fillId="3" borderId="0" xfId="0" applyNumberFormat="1" applyFont="1" applyFill="1" applyBorder="1"/>
    <xf numFmtId="0" fontId="7" fillId="3" borderId="0" xfId="0" applyFont="1" applyFill="1" applyBorder="1"/>
    <xf numFmtId="0" fontId="0" fillId="4" borderId="0" xfId="0" applyFill="1" applyBorder="1"/>
    <xf numFmtId="3" fontId="7" fillId="4" borderId="0" xfId="0" applyNumberFormat="1" applyFont="1" applyFill="1" applyBorder="1"/>
    <xf numFmtId="0" fontId="7" fillId="4" borderId="0" xfId="0" applyFont="1" applyFill="1" applyBorder="1"/>
    <xf numFmtId="0" fontId="0" fillId="5" borderId="0" xfId="0" applyFill="1" applyBorder="1"/>
    <xf numFmtId="0" fontId="7" fillId="0" borderId="0" xfId="0" applyFont="1" applyBorder="1"/>
    <xf numFmtId="3" fontId="7" fillId="0" borderId="0" xfId="0" applyNumberFormat="1" applyFont="1" applyFill="1" applyBorder="1"/>
    <xf numFmtId="0" fontId="7" fillId="0" borderId="0" xfId="0" applyFont="1" applyFill="1" applyBorder="1"/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0" xfId="0" applyFont="1"/>
    <xf numFmtId="0" fontId="0" fillId="0" borderId="0" xfId="0" applyFill="1" applyBorder="1"/>
    <xf numFmtId="17" fontId="3" fillId="0" borderId="0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0" fontId="3" fillId="0" borderId="11" xfId="0" applyFont="1" applyBorder="1" applyAlignment="1">
      <alignment horizontal="left"/>
    </xf>
    <xf numFmtId="0" fontId="2" fillId="0" borderId="0" xfId="0" applyFont="1" applyFill="1"/>
    <xf numFmtId="0" fontId="0" fillId="0" borderId="0" xfId="0" applyFill="1"/>
    <xf numFmtId="0" fontId="3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 applyBorder="1"/>
    <xf numFmtId="0" fontId="9" fillId="0" borderId="0" xfId="0" applyFont="1" applyFill="1"/>
    <xf numFmtId="0" fontId="7" fillId="0" borderId="7" xfId="0" applyFont="1" applyBorder="1"/>
    <xf numFmtId="0" fontId="7" fillId="0" borderId="8" xfId="0" applyFont="1" applyBorder="1"/>
    <xf numFmtId="0" fontId="7" fillId="5" borderId="0" xfId="0" applyFont="1" applyFill="1" applyBorder="1"/>
    <xf numFmtId="3" fontId="7" fillId="5" borderId="5" xfId="0" applyNumberFormat="1" applyFont="1" applyFill="1" applyBorder="1"/>
    <xf numFmtId="0" fontId="0" fillId="0" borderId="3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10" fillId="6" borderId="0" xfId="0" applyNumberFormat="1" applyFont="1" applyFill="1" applyBorder="1" applyAlignment="1">
      <alignment horizontal="center"/>
    </xf>
    <xf numFmtId="3" fontId="10" fillId="6" borderId="7" xfId="0" applyNumberFormat="1" applyFont="1" applyFill="1" applyBorder="1" applyAlignment="1">
      <alignment horizontal="center"/>
    </xf>
    <xf numFmtId="3" fontId="10" fillId="3" borderId="7" xfId="0" applyNumberFormat="1" applyFont="1" applyFill="1" applyBorder="1" applyAlignment="1">
      <alignment horizontal="center"/>
    </xf>
    <xf numFmtId="3" fontId="10" fillId="3" borderId="0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0" fontId="0" fillId="0" borderId="8" xfId="0" applyBorder="1"/>
    <xf numFmtId="0" fontId="7" fillId="0" borderId="12" xfId="0" applyFont="1" applyBorder="1"/>
    <xf numFmtId="3" fontId="10" fillId="0" borderId="5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6" xfId="0" applyBorder="1"/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10" fillId="4" borderId="7" xfId="0" applyNumberFormat="1" applyFont="1" applyFill="1" applyBorder="1" applyAlignment="1">
      <alignment horizontal="center"/>
    </xf>
    <xf numFmtId="0" fontId="12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3" fontId="7" fillId="5" borderId="7" xfId="0" applyNumberFormat="1" applyFont="1" applyFill="1" applyBorder="1" applyAlignment="1">
      <alignment horizontal="center"/>
    </xf>
    <xf numFmtId="3" fontId="7" fillId="5" borderId="8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.xml" Id="imanage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"/>
  <sheetViews>
    <sheetView tabSelected="1" zoomScaleNormal="100" workbookViewId="0">
      <selection activeCell="K19" sqref="K19"/>
    </sheetView>
  </sheetViews>
  <sheetFormatPr baseColWidth="10" defaultRowHeight="15" x14ac:dyDescent="0.25"/>
  <cols>
    <col min="1" max="1" width="36.7109375" customWidth="1"/>
    <col min="2" max="2" width="16.85546875" customWidth="1"/>
    <col min="3" max="3" width="16.140625" customWidth="1"/>
    <col min="4" max="4" width="9" customWidth="1"/>
    <col min="5" max="5" width="19.5703125" bestFit="1" customWidth="1"/>
    <col min="6" max="6" width="18" customWidth="1"/>
    <col min="7" max="7" width="11.85546875" customWidth="1"/>
    <col min="8" max="8" width="12.5703125" bestFit="1" customWidth="1"/>
    <col min="9" max="9" width="17.140625" bestFit="1" customWidth="1"/>
    <col min="10" max="12" width="17.140625" customWidth="1"/>
  </cols>
  <sheetData>
    <row r="1" spans="1:14" ht="21" thickBot="1" x14ac:dyDescent="0.35">
      <c r="C1" s="36" t="s">
        <v>26</v>
      </c>
      <c r="D1" s="37"/>
      <c r="E1" s="38"/>
      <c r="F1" s="39"/>
      <c r="G1" s="37"/>
      <c r="H1" s="58"/>
      <c r="I1" s="35">
        <v>44866</v>
      </c>
      <c r="J1" s="35"/>
      <c r="K1" s="35"/>
    </row>
    <row r="2" spans="1:14" ht="20.25" x14ac:dyDescent="0.3">
      <c r="C2" s="1"/>
      <c r="D2" s="1"/>
      <c r="E2" s="2"/>
      <c r="F2" s="1"/>
      <c r="G2" s="1"/>
      <c r="H2" s="3"/>
    </row>
    <row r="3" spans="1:14" ht="20.25" x14ac:dyDescent="0.3">
      <c r="A3" s="45" t="s">
        <v>14</v>
      </c>
      <c r="B3" s="43" t="s">
        <v>45</v>
      </c>
      <c r="C3" s="40"/>
      <c r="D3" s="41"/>
      <c r="M3" s="3"/>
      <c r="N3" s="3"/>
    </row>
    <row r="4" spans="1:14" ht="20.25" x14ac:dyDescent="0.3">
      <c r="A4" s="45"/>
      <c r="B4" s="43" t="s">
        <v>46</v>
      </c>
      <c r="C4" s="40"/>
      <c r="D4" s="42"/>
      <c r="E4" s="1"/>
      <c r="F4" s="2"/>
      <c r="G4" s="1"/>
      <c r="H4" s="1"/>
      <c r="I4" s="3"/>
      <c r="J4" s="3"/>
      <c r="K4" s="3"/>
      <c r="L4" s="3"/>
      <c r="M4" s="3"/>
      <c r="N4" s="3"/>
    </row>
    <row r="5" spans="1:14" ht="20.25" x14ac:dyDescent="0.3">
      <c r="A5" s="40" t="s">
        <v>43</v>
      </c>
      <c r="B5" s="43" t="s">
        <v>47</v>
      </c>
      <c r="C5" s="40"/>
      <c r="D5" s="42"/>
      <c r="E5" s="1"/>
      <c r="F5" s="2"/>
      <c r="G5" s="1"/>
      <c r="H5" s="1"/>
      <c r="I5" s="3"/>
      <c r="J5" s="3"/>
      <c r="K5" s="3"/>
      <c r="L5" s="3"/>
      <c r="M5" s="3"/>
    </row>
    <row r="6" spans="1:14" ht="20.25" x14ac:dyDescent="0.3">
      <c r="A6" s="40" t="s">
        <v>42</v>
      </c>
      <c r="B6" s="43" t="s">
        <v>49</v>
      </c>
      <c r="C6" s="44"/>
      <c r="D6" s="41"/>
      <c r="N6" s="6"/>
    </row>
    <row r="7" spans="1:14" ht="20.25" x14ac:dyDescent="0.3">
      <c r="A7" s="45" t="s">
        <v>15</v>
      </c>
      <c r="B7" s="43" t="s">
        <v>16</v>
      </c>
      <c r="C7" s="34"/>
      <c r="D7" s="41"/>
      <c r="N7" s="11"/>
    </row>
    <row r="8" spans="1:14" x14ac:dyDescent="0.25">
      <c r="C8" s="7"/>
      <c r="L8" s="7"/>
    </row>
    <row r="9" spans="1:14" ht="18" x14ac:dyDescent="0.25">
      <c r="A9" s="45"/>
      <c r="B9" s="43"/>
      <c r="C9" s="7"/>
      <c r="L9" s="7"/>
    </row>
    <row r="10" spans="1:14" x14ac:dyDescent="0.25">
      <c r="C10" s="7"/>
      <c r="L10" s="7"/>
    </row>
    <row r="11" spans="1:14" x14ac:dyDescent="0.25">
      <c r="A11" s="51" t="s">
        <v>7</v>
      </c>
      <c r="B11" s="80" t="s">
        <v>8</v>
      </c>
      <c r="C11" s="81"/>
      <c r="D11" s="81"/>
      <c r="E11" s="81"/>
      <c r="F11" s="81"/>
      <c r="G11" s="81"/>
      <c r="H11" s="81"/>
      <c r="I11" s="81"/>
      <c r="J11" s="71"/>
      <c r="K11" s="75"/>
      <c r="L11" s="67"/>
      <c r="M11" s="19"/>
      <c r="N11" s="7"/>
    </row>
    <row r="12" spans="1:14" x14ac:dyDescent="0.25">
      <c r="A12" s="66" t="s">
        <v>9</v>
      </c>
      <c r="B12" s="82"/>
      <c r="C12" s="83"/>
      <c r="D12" s="83"/>
      <c r="E12" s="83"/>
      <c r="F12" s="83"/>
      <c r="G12" s="83"/>
      <c r="H12" s="83"/>
      <c r="I12" s="83"/>
      <c r="J12" s="72"/>
      <c r="K12" s="76"/>
      <c r="L12" s="62"/>
      <c r="N12" s="7"/>
    </row>
    <row r="13" spans="1:14" x14ac:dyDescent="0.25">
      <c r="A13" s="68"/>
      <c r="B13" s="22" t="s">
        <v>30</v>
      </c>
      <c r="C13" s="24"/>
      <c r="D13" s="25" t="s">
        <v>27</v>
      </c>
      <c r="E13" s="24" t="s">
        <v>35</v>
      </c>
      <c r="F13" s="25" t="s">
        <v>31</v>
      </c>
      <c r="G13" s="24" t="s">
        <v>32</v>
      </c>
      <c r="H13" s="25" t="s">
        <v>33</v>
      </c>
      <c r="I13" s="50" t="s">
        <v>34</v>
      </c>
      <c r="J13" s="50"/>
      <c r="K13" s="50"/>
      <c r="L13" s="63"/>
      <c r="N13" s="7"/>
    </row>
    <row r="14" spans="1:14" x14ac:dyDescent="0.25">
      <c r="B14" s="23" t="s">
        <v>40</v>
      </c>
      <c r="C14" s="24" t="s">
        <v>41</v>
      </c>
      <c r="D14" s="25" t="s">
        <v>28</v>
      </c>
      <c r="E14" s="25" t="s">
        <v>36</v>
      </c>
      <c r="F14" s="25" t="s">
        <v>11</v>
      </c>
      <c r="G14" s="24" t="s">
        <v>10</v>
      </c>
      <c r="H14" s="25" t="s">
        <v>21</v>
      </c>
      <c r="I14" s="50" t="s">
        <v>18</v>
      </c>
      <c r="J14" s="50"/>
      <c r="K14" s="50" t="s">
        <v>44</v>
      </c>
      <c r="L14" s="52" t="s">
        <v>6</v>
      </c>
      <c r="N14" s="7"/>
    </row>
    <row r="15" spans="1:14" x14ac:dyDescent="0.25">
      <c r="A15" s="69"/>
      <c r="B15" s="23"/>
      <c r="C15" s="24"/>
      <c r="D15" s="25" t="s">
        <v>29</v>
      </c>
      <c r="E15" s="24" t="s">
        <v>37</v>
      </c>
      <c r="F15" s="25" t="s">
        <v>13</v>
      </c>
      <c r="G15" s="24" t="s">
        <v>20</v>
      </c>
      <c r="H15" s="25" t="s">
        <v>23</v>
      </c>
      <c r="I15" s="50" t="s">
        <v>22</v>
      </c>
      <c r="J15" s="50" t="s">
        <v>38</v>
      </c>
      <c r="K15" s="50" t="s">
        <v>39</v>
      </c>
      <c r="L15" s="46"/>
      <c r="N15" s="7"/>
    </row>
    <row r="16" spans="1:14" x14ac:dyDescent="0.25">
      <c r="A16" s="70"/>
      <c r="B16" s="28"/>
      <c r="C16" s="28"/>
      <c r="D16" s="29"/>
      <c r="E16" s="26" t="s">
        <v>25</v>
      </c>
      <c r="F16" s="29"/>
      <c r="G16" s="28" t="s">
        <v>17</v>
      </c>
      <c r="H16" s="29" t="s">
        <v>19</v>
      </c>
      <c r="I16" s="27" t="s">
        <v>17</v>
      </c>
      <c r="J16" s="27"/>
      <c r="K16" s="27"/>
      <c r="L16" s="47"/>
      <c r="N16" s="7"/>
    </row>
    <row r="17" spans="1:14" x14ac:dyDescent="0.25">
      <c r="A17" s="22"/>
      <c r="B17" s="30"/>
      <c r="C17" s="31"/>
      <c r="D17" s="30"/>
      <c r="E17" s="31"/>
      <c r="F17" s="30"/>
      <c r="G17" s="31"/>
      <c r="H17" s="30"/>
      <c r="I17" s="31"/>
      <c r="J17" s="31"/>
      <c r="K17" s="31"/>
      <c r="L17" s="60"/>
      <c r="N17" s="7"/>
    </row>
    <row r="18" spans="1:14" x14ac:dyDescent="0.25">
      <c r="A18" s="59" t="s">
        <v>48</v>
      </c>
      <c r="B18" s="54"/>
      <c r="C18" s="55"/>
      <c r="D18" s="54"/>
      <c r="E18" s="55">
        <f>8.7+21.8+4.3+6.2</f>
        <v>41</v>
      </c>
      <c r="F18" s="54">
        <f>11.9</f>
        <v>11.9</v>
      </c>
      <c r="G18" s="56">
        <f>5.5+2.4+16+13.3</f>
        <v>37.200000000000003</v>
      </c>
      <c r="H18" s="57">
        <f>6</f>
        <v>6</v>
      </c>
      <c r="I18" s="56">
        <f>13.9+2.8</f>
        <v>16.7</v>
      </c>
      <c r="J18" s="73">
        <f>160.2+19</f>
        <v>179.2</v>
      </c>
      <c r="K18" s="78">
        <f>3*23</f>
        <v>69</v>
      </c>
      <c r="L18" s="53">
        <f>SUM(B18:K18)</f>
        <v>361</v>
      </c>
      <c r="M18" s="69" t="s">
        <v>12</v>
      </c>
      <c r="N18" s="7"/>
    </row>
    <row r="19" spans="1:14" x14ac:dyDescent="0.25">
      <c r="A19" s="59"/>
      <c r="B19" s="54"/>
      <c r="C19" s="55"/>
      <c r="D19" s="54"/>
      <c r="E19" s="55"/>
      <c r="F19" s="54"/>
      <c r="G19" s="56"/>
      <c r="H19" s="57"/>
      <c r="I19" s="56"/>
      <c r="J19" s="73"/>
      <c r="K19" s="78"/>
      <c r="L19" s="53"/>
      <c r="M19" s="77"/>
      <c r="N19" s="7"/>
    </row>
    <row r="20" spans="1:14" x14ac:dyDescent="0.25">
      <c r="A20" s="59" t="s">
        <v>24</v>
      </c>
      <c r="B20" s="54">
        <f>17.3+17.5+18.6+18.1</f>
        <v>71.5</v>
      </c>
      <c r="C20" s="55">
        <f>83+71.2</f>
        <v>154.19999999999999</v>
      </c>
      <c r="D20" s="54">
        <f>9.8</f>
        <v>9.8000000000000007</v>
      </c>
      <c r="E20" s="55">
        <f>16.1</f>
        <v>16.100000000000001</v>
      </c>
      <c r="F20" s="54">
        <f>4.3+7+6.9</f>
        <v>18.200000000000003</v>
      </c>
      <c r="G20" s="56"/>
      <c r="H20" s="57">
        <f>11.6</f>
        <v>11.6</v>
      </c>
      <c r="I20" s="56">
        <f>2.1+2.2</f>
        <v>4.3000000000000007</v>
      </c>
      <c r="J20" s="73">
        <f>89.9</f>
        <v>89.9</v>
      </c>
      <c r="K20" s="79"/>
      <c r="L20" s="53">
        <f>SUM(B20:K20)</f>
        <v>375.6</v>
      </c>
      <c r="M20" s="77"/>
      <c r="N20" s="7"/>
    </row>
    <row r="21" spans="1:14" x14ac:dyDescent="0.25">
      <c r="A21" s="32"/>
      <c r="B21" s="64"/>
      <c r="C21" s="65"/>
      <c r="D21" s="64"/>
      <c r="E21" s="65"/>
      <c r="F21" s="64"/>
      <c r="G21" s="65"/>
      <c r="H21" s="64"/>
      <c r="I21" s="65"/>
      <c r="J21" s="65"/>
      <c r="K21" s="65"/>
      <c r="L21" s="61"/>
      <c r="N21" s="7"/>
    </row>
    <row r="22" spans="1:14" x14ac:dyDescent="0.25">
      <c r="A22" s="33"/>
      <c r="B22" s="33"/>
      <c r="C22" s="33"/>
    </row>
    <row r="23" spans="1:14" ht="20.25" x14ac:dyDescent="0.3">
      <c r="A23" s="5" t="s">
        <v>0</v>
      </c>
      <c r="B23" s="4"/>
      <c r="D23" s="6"/>
      <c r="E23" s="6"/>
      <c r="F23" s="6"/>
      <c r="G23" s="6"/>
      <c r="H23" s="6"/>
    </row>
    <row r="24" spans="1:14" x14ac:dyDescent="0.25">
      <c r="A24" s="7"/>
      <c r="B24" s="8" t="s">
        <v>1</v>
      </c>
      <c r="C24" s="8"/>
      <c r="D24" s="8"/>
      <c r="E24" s="9">
        <f>E18+F18+B20+C20+D20+E20+F20</f>
        <v>322.70000000000005</v>
      </c>
      <c r="F24" s="10" t="s">
        <v>2</v>
      </c>
    </row>
    <row r="25" spans="1:14" x14ac:dyDescent="0.25">
      <c r="A25" s="7"/>
      <c r="B25" s="12" t="s">
        <v>3</v>
      </c>
      <c r="C25" s="12"/>
      <c r="D25" s="12"/>
      <c r="E25" s="13">
        <f>G18+H18+I18+H20+I20</f>
        <v>75.8</v>
      </c>
      <c r="F25" s="14" t="s">
        <v>2</v>
      </c>
    </row>
    <row r="26" spans="1:14" x14ac:dyDescent="0.25">
      <c r="A26" s="7"/>
      <c r="B26" s="15" t="s">
        <v>4</v>
      </c>
      <c r="C26" s="15"/>
      <c r="D26" s="15"/>
      <c r="E26" s="16">
        <f>J18+J20</f>
        <v>269.10000000000002</v>
      </c>
      <c r="F26" s="17" t="s">
        <v>2</v>
      </c>
      <c r="G26" s="41"/>
      <c r="H26" s="41"/>
    </row>
    <row r="27" spans="1:14" x14ac:dyDescent="0.25">
      <c r="A27" s="7"/>
      <c r="B27" s="18" t="s">
        <v>5</v>
      </c>
      <c r="C27" s="18"/>
      <c r="D27" s="18"/>
      <c r="E27" s="49">
        <f>K18</f>
        <v>69</v>
      </c>
      <c r="F27" s="48" t="s">
        <v>2</v>
      </c>
    </row>
    <row r="28" spans="1:14" x14ac:dyDescent="0.25">
      <c r="A28" s="7"/>
      <c r="B28" s="19" t="s">
        <v>6</v>
      </c>
      <c r="C28" s="19"/>
      <c r="D28" s="19"/>
      <c r="E28" s="20">
        <f>SUM(E24:E27)</f>
        <v>736.60000000000014</v>
      </c>
      <c r="F28" s="21" t="s">
        <v>2</v>
      </c>
      <c r="G28" s="74"/>
    </row>
  </sheetData>
  <mergeCells count="1">
    <mergeCell ref="B11:I1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headerFooter>
    <oddFooter>&amp;C&amp;D&amp;RPage &amp;P</oddFooter>
  </headerFooter>
</worksheet>
</file>

<file path=customXML/item.xml>��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Annexes CBD et 6660 REV</vt:lpstr>
      <vt:lpstr>'Annexes CBD et 6660 REV'!Zone_d_impression</vt:lpstr>
    </vt:vector>
  </TitlesOfParts>
  <Company>CMS BFL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Luart Melanie</dc:creator>
  <cp:lastModifiedBy>Du Luart Melanie</cp:lastModifiedBy>
  <cp:lastPrinted>2022-10-31T14:35:53Z</cp:lastPrinted>
  <dcterms:created xsi:type="dcterms:W3CDTF">2017-09-15T14:01:04Z</dcterms:created>
  <dcterms:modified xsi:type="dcterms:W3CDTF">2022-11-08T16:30:09Z</dcterms:modified>
</cp:coreProperties>
</file>