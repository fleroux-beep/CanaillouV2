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45 Epone - SCI ARMEE ORIENT\"/>
    </mc:Choice>
  </mc:AlternateContent>
  <xr:revisionPtr revIDLastSave="0" documentId="13_ncr:1_{EBBE9CAA-7BE6-4F2E-A906-9D68B37FCA3F}" xr6:coauthVersionLast="47" xr6:coauthVersionMax="47" xr10:uidLastSave="{00000000-0000-0000-0000-000000000000}"/>
  <bookViews>
    <workbookView xWindow="28680" yWindow="-120" windowWidth="29040" windowHeight="15720" xr2:uid="{2BC2E6E9-C79E-4F52-80EC-D2476AE53E0B}"/>
  </bookViews>
  <sheets>
    <sheet name="BAIL" sheetId="1" r:id="rId1"/>
    <sheet name="CHARGES" sheetId="2" r:id="rId2"/>
    <sheet name="TAXES" sheetId="3" r:id="rId3"/>
    <sheet name="ANNEXE 6" sheetId="4" r:id="rId4"/>
    <sheet name="Feuil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" i="1" l="1"/>
  <c r="C24" i="1"/>
  <c r="D24" i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B18" i="1"/>
  <c r="C19" i="1"/>
  <c r="B12" i="1"/>
  <c r="B22" i="1"/>
  <c r="C7" i="2"/>
  <c r="D7" i="2"/>
  <c r="E7" i="2"/>
  <c r="F7" i="2"/>
  <c r="G7" i="2"/>
  <c r="H7" i="2"/>
  <c r="I7" i="2"/>
  <c r="J7" i="2"/>
  <c r="K7" i="2"/>
  <c r="B7" i="2"/>
  <c r="C10" i="1"/>
  <c r="D20" i="5"/>
  <c r="D19" i="5"/>
  <c r="D18" i="5"/>
  <c r="D17" i="5"/>
  <c r="D16" i="5"/>
  <c r="D15" i="5"/>
  <c r="D14" i="5"/>
  <c r="D12" i="5"/>
  <c r="D11" i="5"/>
  <c r="D10" i="5"/>
  <c r="D9" i="5"/>
  <c r="D8" i="5"/>
  <c r="D7" i="5"/>
  <c r="D4" i="5"/>
  <c r="D5" i="5" s="1"/>
  <c r="C4" i="5"/>
  <c r="C22" i="5" s="1"/>
  <c r="D3" i="5"/>
  <c r="D2" i="5"/>
  <c r="E37" i="4"/>
  <c r="E36" i="4"/>
  <c r="E35" i="4"/>
  <c r="E34" i="4"/>
  <c r="E33" i="4"/>
  <c r="E32" i="4"/>
  <c r="E31" i="4"/>
  <c r="E29" i="4"/>
  <c r="E28" i="4"/>
  <c r="E27" i="4"/>
  <c r="E26" i="4"/>
  <c r="E25" i="4"/>
  <c r="E24" i="4"/>
  <c r="D21" i="4"/>
  <c r="D39" i="4" s="1"/>
  <c r="E20" i="4"/>
  <c r="E19" i="4"/>
  <c r="E21" i="4" l="1"/>
  <c r="E22" i="4" s="1"/>
  <c r="C5" i="5"/>
  <c r="D22" i="4"/>
  <c r="C9" i="1"/>
  <c r="C12" i="1" s="1"/>
  <c r="C22" i="1" l="1"/>
  <c r="D19" i="1"/>
  <c r="C8" i="1"/>
  <c r="D9" i="1"/>
  <c r="C23" i="1" s="1"/>
  <c r="E19" i="1" l="1"/>
  <c r="F19" i="1" s="1"/>
  <c r="G19" i="1" s="1"/>
  <c r="H19" i="1" s="1"/>
  <c r="I19" i="1" s="1"/>
  <c r="J19" i="1" s="1"/>
  <c r="K19" i="1" s="1"/>
  <c r="L19" i="1" s="1"/>
  <c r="M19" i="1" s="1"/>
  <c r="N19" i="1" s="1"/>
  <c r="E9" i="1"/>
  <c r="E12" i="1" s="1"/>
  <c r="D12" i="1"/>
  <c r="D22" i="1"/>
  <c r="D8" i="1"/>
  <c r="L22" i="1" l="1"/>
  <c r="N22" i="1"/>
  <c r="M22" i="1"/>
  <c r="E8" i="1"/>
  <c r="E22" i="1"/>
  <c r="F22" i="1" l="1"/>
  <c r="G22" i="1" l="1"/>
  <c r="H22" i="1" l="1"/>
  <c r="I22" i="1" l="1"/>
  <c r="J22" i="1" l="1"/>
  <c r="K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tc={608A678D-F669-49FB-912A-0E0E3E903D45}</author>
  </authors>
  <commentList>
    <comment ref="B9" authorId="0" shapeId="0" xr:uid="{608A678D-F669-49FB-912A-0E0E3E903D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6 mois de franchise a compter de la prise d'effet seule les charges sont à payer</t>
      </text>
    </comment>
  </commentList>
</comments>
</file>

<file path=xl/sharedStrings.xml><?xml version="1.0" encoding="utf-8"?>
<sst xmlns="http://schemas.openxmlformats.org/spreadsheetml/2006/main" count="113" uniqueCount="74">
  <si>
    <t>BAILLEUR</t>
  </si>
  <si>
    <t>DATE DU BAIL</t>
  </si>
  <si>
    <t>DUREE</t>
  </si>
  <si>
    <t>ANNEE</t>
  </si>
  <si>
    <t>INITIAL</t>
  </si>
  <si>
    <t xml:space="preserve">PROVISIONS POUR CHARGES </t>
  </si>
  <si>
    <t>FRAIS ASSURANCES</t>
  </si>
  <si>
    <t xml:space="preserve">AUTRES CHARGES </t>
  </si>
  <si>
    <t xml:space="preserve">HONORAIRES </t>
  </si>
  <si>
    <t>ANNEES</t>
  </si>
  <si>
    <t xml:space="preserve">TAXES FONCIERES </t>
  </si>
  <si>
    <t xml:space="preserve">AUTRES TAXES </t>
  </si>
  <si>
    <t>REGULARISATION TAXE FONCIERE</t>
  </si>
  <si>
    <t>AJUSTEMENT DEPOT DE GARANTIE</t>
  </si>
  <si>
    <t>-</t>
  </si>
  <si>
    <t>LOYER ANNUEL HT (HORS CHARGES)</t>
  </si>
  <si>
    <t>SUPERFICIE</t>
  </si>
  <si>
    <t>DATE PRISE EFFET</t>
  </si>
  <si>
    <t>DEPOT DE GARANTIE 3 mois de loyer</t>
  </si>
  <si>
    <t>REDUCTION</t>
  </si>
  <si>
    <t>INDICE (INDEXATION DU LOYER) ILC 3T</t>
  </si>
  <si>
    <t>01/01/2023-31/12/2023</t>
  </si>
  <si>
    <t>01/01/2024-31/12/2024</t>
  </si>
  <si>
    <t>01/01/2025-31/12/2025</t>
  </si>
  <si>
    <t>01/01/2026-31/12/2026</t>
  </si>
  <si>
    <t>01/01/2027-31/12/2027</t>
  </si>
  <si>
    <t>01/01/2028-31/12/2028</t>
  </si>
  <si>
    <t>01/01/2029-31/12/2029</t>
  </si>
  <si>
    <t>01/01/2030-31/12/2030</t>
  </si>
  <si>
    <t>01/01/2031-31/12/2031</t>
  </si>
  <si>
    <t>charges 12 mois 8700€</t>
  </si>
  <si>
    <t>FRANCHISE 9 mois</t>
  </si>
  <si>
    <t>LPC 34 DEUIL</t>
  </si>
  <si>
    <t>LPC EPONE</t>
  </si>
  <si>
    <t>SCI ARMEE D'ORIENT</t>
  </si>
  <si>
    <t>HT</t>
  </si>
  <si>
    <t>TTC</t>
  </si>
  <si>
    <t xml:space="preserve">Objectif TTC Majoration GO fi : </t>
  </si>
  <si>
    <t xml:space="preserve">Objectif TTC Majoration GO reelle : </t>
  </si>
  <si>
    <t>Total devis :</t>
  </si>
  <si>
    <t>Objectif :</t>
  </si>
  <si>
    <t>Prestataire</t>
  </si>
  <si>
    <t>Lib</t>
  </si>
  <si>
    <t>Achat porte</t>
  </si>
  <si>
    <t xml:space="preserve">Kauffman </t>
  </si>
  <si>
    <t>Depose + pose porte fenetre</t>
  </si>
  <si>
    <t>Raccordement reseaux VRD</t>
  </si>
  <si>
    <t>NAHK</t>
  </si>
  <si>
    <t>Terrasement</t>
  </si>
  <si>
    <t>PROTECTIONS SOLAIRES EXTERIEURES</t>
  </si>
  <si>
    <t>MACONNERIE GO / DALLE AJUSTEMENT</t>
  </si>
  <si>
    <t>Estimation Hausse frais de 8 %</t>
  </si>
  <si>
    <t xml:space="preserve"> </t>
  </si>
  <si>
    <t>Annexe 6 : Dossier Annexe 6</t>
  </si>
  <si>
    <t>Amenagement Coque Brut</t>
  </si>
  <si>
    <t>Dépose et pose menuiserie coque extérieur</t>
  </si>
  <si>
    <t>Travaux de raccordement au reseaux VRD</t>
  </si>
  <si>
    <t xml:space="preserve">Objectif TTC Majoration G.O. fi : </t>
  </si>
  <si>
    <t xml:space="preserve">Objectif TTC Majoration G.O. reelle : </t>
  </si>
  <si>
    <t>Objectif restant G.O. reelle :</t>
  </si>
  <si>
    <t>01/01/2032-31/12/2032</t>
  </si>
  <si>
    <t>F-906-ORIENT PROV/TF 1TR2025</t>
  </si>
  <si>
    <t>F-906-ORIENT PROV/CHARGES 1TR2025</t>
  </si>
  <si>
    <t>F-906-ORIENT LOYER 1TR2025</t>
  </si>
  <si>
    <t>SOLDE</t>
  </si>
  <si>
    <t>LOYER TRIMESTRIEL HT (HORS CHARGES)</t>
  </si>
  <si>
    <t>Prise en compte Avenant</t>
  </si>
  <si>
    <t>12 ans</t>
  </si>
  <si>
    <t>01/01/2033-31/12/2033</t>
  </si>
  <si>
    <t>01/01/2034-31/12/2034</t>
  </si>
  <si>
    <t>01/01/2035-31/12/2035</t>
  </si>
  <si>
    <t>13 ans</t>
  </si>
  <si>
    <t>régule Loyer</t>
  </si>
  <si>
    <t>Régule 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</si>
</sst>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  <numFmt numFmtId="167" formatCode="#,##0.00_ ;[Red]\-#,##0.00\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5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0" borderId="0" xfId="0" applyNumberFormat="1"/>
    <xf numFmtId="0" fontId="2" fillId="2" borderId="0" xfId="0" applyFont="1" applyFill="1"/>
    <xf numFmtId="6" fontId="0" fillId="0" borderId="0" xfId="0" applyNumberFormat="1"/>
    <xf numFmtId="44" fontId="0" fillId="0" borderId="13" xfId="2" applyFont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 wrapText="1"/>
    </xf>
    <xf numFmtId="44" fontId="0" fillId="0" borderId="17" xfId="2" applyFont="1" applyBorder="1"/>
    <xf numFmtId="164" fontId="0" fillId="0" borderId="16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44" fontId="0" fillId="0" borderId="12" xfId="2" applyFont="1" applyBorder="1"/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44" fontId="0" fillId="0" borderId="25" xfId="2" applyFont="1" applyBorder="1"/>
    <xf numFmtId="44" fontId="0" fillId="0" borderId="26" xfId="2" applyFont="1" applyBorder="1"/>
    <xf numFmtId="44" fontId="0" fillId="0" borderId="27" xfId="2" applyFont="1" applyBorder="1"/>
    <xf numFmtId="0" fontId="0" fillId="0" borderId="0" xfId="0" applyAlignment="1">
      <alignment vertical="center"/>
    </xf>
    <xf numFmtId="0" fontId="0" fillId="4" borderId="16" xfId="0" applyFill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167" fontId="7" fillId="0" borderId="16" xfId="0" applyNumberFormat="1" applyFon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167" fontId="0" fillId="5" borderId="16" xfId="0" applyNumberForma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3" fontId="0" fillId="0" borderId="16" xfId="0" applyNumberFormat="1" applyBorder="1" applyAlignment="1">
      <alignment vertical="center"/>
    </xf>
    <xf numFmtId="167" fontId="0" fillId="0" borderId="0" xfId="0" applyNumberFormat="1" applyAlignment="1">
      <alignment horizontal="center" vertical="center"/>
    </xf>
    <xf numFmtId="167" fontId="7" fillId="7" borderId="16" xfId="0" applyNumberFormat="1" applyFont="1" applyFill="1" applyBorder="1" applyAlignment="1">
      <alignment horizontal="center" vertical="center"/>
    </xf>
    <xf numFmtId="167" fontId="0" fillId="7" borderId="16" xfId="0" applyNumberFormat="1" applyFill="1" applyBorder="1" applyAlignment="1">
      <alignment horizontal="center" vertical="center"/>
    </xf>
    <xf numFmtId="167" fontId="0" fillId="8" borderId="16" xfId="0" applyNumberFormat="1" applyFill="1" applyBorder="1" applyAlignment="1">
      <alignment horizontal="center" vertical="center"/>
    </xf>
    <xf numFmtId="164" fontId="0" fillId="0" borderId="0" xfId="0" applyNumberFormat="1"/>
    <xf numFmtId="0" fontId="2" fillId="2" borderId="9" xfId="0" applyFont="1" applyFill="1" applyBorder="1" applyAlignment="1">
      <alignment horizontal="center"/>
    </xf>
    <xf numFmtId="44" fontId="0" fillId="0" borderId="0" xfId="2" applyFont="1" applyBorder="1"/>
    <xf numFmtId="0" fontId="0" fillId="0" borderId="29" xfId="0" applyBorder="1" applyAlignment="1">
      <alignment horizontal="center" wrapText="1"/>
    </xf>
    <xf numFmtId="14" fontId="5" fillId="0" borderId="30" xfId="0" applyNumberFormat="1" applyFon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 wrapText="1"/>
    </xf>
    <xf numFmtId="164" fontId="0" fillId="0" borderId="32" xfId="1" applyNumberFormat="1" applyFont="1" applyBorder="1" applyAlignment="1">
      <alignment horizontal="center"/>
    </xf>
    <xf numFmtId="164" fontId="0" fillId="0" borderId="33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8" fillId="8" borderId="0" xfId="0" applyFont="1" applyFill="1"/>
    <xf numFmtId="44" fontId="9" fillId="8" borderId="0" xfId="2" applyFont="1" applyFill="1" applyBorder="1"/>
    <xf numFmtId="44" fontId="1" fillId="0" borderId="0" xfId="2" applyFont="1" applyBorder="1"/>
    <xf numFmtId="164" fontId="9" fillId="8" borderId="0" xfId="2" applyNumberFormat="1" applyFon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64" fontId="0" fillId="0" borderId="0" xfId="2" applyNumberFormat="1" applyFont="1" applyBorder="1"/>
  </cellXfs>
  <cellStyles count="9">
    <cellStyle name="Milliers" xfId="1" builtinId="3"/>
    <cellStyle name="Milliers 2" xfId="4" xr:uid="{B9846204-6C62-4927-81E7-99FC5BEDB2DA}"/>
    <cellStyle name="Milliers 3" xfId="7" xr:uid="{9EF7544C-81D3-401A-B0B4-7C8B49A753F7}"/>
    <cellStyle name="Monétaire" xfId="2" builtinId="4"/>
    <cellStyle name="Monétaire 2" xfId="8" xr:uid="{143584EA-FF10-4FEC-9E4D-2B5A3C393ACA}"/>
    <cellStyle name="Normal" xfId="0" builtinId="0"/>
    <cellStyle name="Normal 3" xfId="3" xr:uid="{2662C083-AAF0-48B0-81A9-B3D4E15E29EF}"/>
    <cellStyle name="Normal 3 2" xfId="5" xr:uid="{524E673D-AAC1-4056-AC8D-F2FF59039F34}"/>
    <cellStyle name="Pourcentage 2 2" xfId="6" xr:uid="{82CF1F87-9E10-4E9B-BC13-33EAA269D358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26</xdr:row>
      <xdr:rowOff>0</xdr:rowOff>
    </xdr:from>
    <xdr:to>
      <xdr:col>8</xdr:col>
      <xdr:colOff>808244</xdr:colOff>
      <xdr:row>57</xdr:row>
      <xdr:rowOff>124322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2FB435E-ABAB-3FEF-D2BF-9963C2566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5850" y="5124450"/>
          <a:ext cx="6043184" cy="57307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chiaka KONE" id="{5ECAD981-D878-4860-B22D-252DBD34D6CE}" userId="S::ikone@lpc040411.onmicrosoft.com::694664da-ba55-42b4-bfe3-51764e3acdc0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2-05-19T14:55:59.10" personId="{5ECAD981-D878-4860-B22D-252DBD34D6CE}" id="{608A678D-F669-49FB-912A-0E0E3E903D45}">
    <text>6 mois de franchise a compter de la prise d'effet seule les charges sont à payer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3716-0CEF-4925-BB16-587E35F9A5D0}">
  <dimension ref="A1:N26"/>
  <sheetViews>
    <sheetView showGridLines="0" tabSelected="1" topLeftCell="A8" workbookViewId="0">
      <selection activeCell="G25" sqref="G25"/>
    </sheetView>
  </sheetViews>
  <sheetFormatPr baseColWidth="10" defaultRowHeight="14.4" x14ac:dyDescent="0.3"/>
  <cols>
    <col min="1" max="1" width="34.77734375" bestFit="1" customWidth="1"/>
    <col min="2" max="2" width="20.44140625" bestFit="1" customWidth="1"/>
    <col min="3" max="5" width="16.21875" customWidth="1"/>
    <col min="6" max="6" width="12.44140625" customWidth="1"/>
    <col min="7" max="14" width="15.6640625" customWidth="1"/>
  </cols>
  <sheetData>
    <row r="1" spans="1:14" ht="15" thickBot="1" x14ac:dyDescent="0.35">
      <c r="A1" s="70" t="s">
        <v>33</v>
      </c>
      <c r="B1" s="71"/>
    </row>
    <row r="2" spans="1:14" x14ac:dyDescent="0.3">
      <c r="A2" s="1" t="s">
        <v>0</v>
      </c>
      <c r="B2" s="27" t="s">
        <v>34</v>
      </c>
      <c r="E2" t="s">
        <v>61</v>
      </c>
    </row>
    <row r="3" spans="1:14" x14ac:dyDescent="0.3">
      <c r="A3" s="19" t="s">
        <v>16</v>
      </c>
      <c r="B3" s="28">
        <v>311</v>
      </c>
      <c r="E3" t="s">
        <v>62</v>
      </c>
    </row>
    <row r="4" spans="1:14" x14ac:dyDescent="0.3">
      <c r="A4" s="2" t="s">
        <v>1</v>
      </c>
      <c r="B4" s="29">
        <v>44562</v>
      </c>
      <c r="E4" t="s">
        <v>63</v>
      </c>
    </row>
    <row r="5" spans="1:14" x14ac:dyDescent="0.3">
      <c r="A5" s="2" t="s">
        <v>17</v>
      </c>
      <c r="B5" s="29">
        <v>44927</v>
      </c>
    </row>
    <row r="6" spans="1:14" ht="15" thickBot="1" x14ac:dyDescent="0.35">
      <c r="A6" s="2" t="s">
        <v>31</v>
      </c>
      <c r="B6" s="59">
        <v>9</v>
      </c>
      <c r="C6">
        <v>1</v>
      </c>
      <c r="D6">
        <v>2</v>
      </c>
      <c r="E6">
        <v>3</v>
      </c>
    </row>
    <row r="7" spans="1:14" s="21" customFormat="1" ht="29.4" thickBot="1" x14ac:dyDescent="0.35">
      <c r="A7" s="22" t="s">
        <v>2</v>
      </c>
      <c r="B7" s="61" t="s">
        <v>71</v>
      </c>
      <c r="C7" s="58" t="s">
        <v>21</v>
      </c>
      <c r="D7" s="34" t="s">
        <v>22</v>
      </c>
      <c r="E7" s="34" t="s">
        <v>23</v>
      </c>
    </row>
    <row r="8" spans="1:14" x14ac:dyDescent="0.3">
      <c r="A8" s="2" t="s">
        <v>18</v>
      </c>
      <c r="B8" s="60">
        <v>21750</v>
      </c>
      <c r="C8" s="32">
        <f>+B8</f>
        <v>21750</v>
      </c>
      <c r="D8" s="33">
        <f>+C8*D10/C10</f>
        <v>23048.481725204154</v>
      </c>
      <c r="E8" s="33">
        <f t="shared" ref="E8" si="0">+D8*E10/D10</f>
        <v>23746.868310473321</v>
      </c>
    </row>
    <row r="9" spans="1:14" x14ac:dyDescent="0.3">
      <c r="A9" s="2" t="s">
        <v>15</v>
      </c>
      <c r="B9" s="30">
        <v>87000</v>
      </c>
      <c r="C9" s="25">
        <f>+B9-C11</f>
        <v>87000</v>
      </c>
      <c r="D9" s="24">
        <f>+C9*D10/C10-D11</f>
        <v>92193.926900816616</v>
      </c>
      <c r="E9" s="24">
        <f>+D9*E10/D10-E11</f>
        <v>94987.473241893284</v>
      </c>
    </row>
    <row r="10" spans="1:14" ht="15" thickBot="1" x14ac:dyDescent="0.35">
      <c r="A10" s="7" t="s">
        <v>20</v>
      </c>
      <c r="B10" s="31">
        <v>126.13</v>
      </c>
      <c r="C10" s="36">
        <f>+B10</f>
        <v>126.13</v>
      </c>
      <c r="D10" s="37">
        <v>133.66</v>
      </c>
      <c r="E10" s="37">
        <v>137.71</v>
      </c>
    </row>
    <row r="11" spans="1:14" ht="13.95" customHeight="1" thickBot="1" x14ac:dyDescent="0.35">
      <c r="A11" s="2" t="s">
        <v>19</v>
      </c>
      <c r="B11" s="26"/>
      <c r="C11" s="38">
        <v>0</v>
      </c>
      <c r="D11" s="39">
        <v>0</v>
      </c>
      <c r="E11" s="39">
        <v>0</v>
      </c>
    </row>
    <row r="12" spans="1:14" ht="15" thickBot="1" x14ac:dyDescent="0.35">
      <c r="A12" s="20" t="s">
        <v>65</v>
      </c>
      <c r="B12" s="18">
        <f>+B9/4</f>
        <v>21750</v>
      </c>
      <c r="C12" s="23">
        <f t="shared" ref="C12:E12" si="1">+C9/4</f>
        <v>21750</v>
      </c>
      <c r="D12" s="23">
        <f t="shared" si="1"/>
        <v>23048.481725204154</v>
      </c>
      <c r="E12" s="23">
        <f t="shared" si="1"/>
        <v>23746.868310473321</v>
      </c>
    </row>
    <row r="13" spans="1:14" x14ac:dyDescent="0.3">
      <c r="A13" s="16"/>
      <c r="B13" s="57"/>
      <c r="C13" s="57"/>
      <c r="D13" s="57"/>
      <c r="E13" s="57"/>
    </row>
    <row r="14" spans="1:14" x14ac:dyDescent="0.3">
      <c r="A14" s="1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 spans="1:14" ht="13.95" customHeight="1" x14ac:dyDescent="0.3">
      <c r="A15" s="68" t="s">
        <v>66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1:14" ht="13.95" customHeight="1" thickBot="1" x14ac:dyDescent="0.35">
      <c r="A16" s="2" t="s">
        <v>17</v>
      </c>
      <c r="B16" s="29">
        <v>45292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</row>
    <row r="17" spans="1:14" s="21" customFormat="1" ht="29.4" thickBot="1" x14ac:dyDescent="0.35">
      <c r="A17" s="22" t="s">
        <v>2</v>
      </c>
      <c r="B17" s="61" t="s">
        <v>67</v>
      </c>
      <c r="C17" s="34" t="s">
        <v>22</v>
      </c>
      <c r="D17" s="34" t="s">
        <v>23</v>
      </c>
      <c r="E17" s="34" t="s">
        <v>24</v>
      </c>
      <c r="F17" s="34" t="s">
        <v>25</v>
      </c>
      <c r="G17" s="34" t="s">
        <v>26</v>
      </c>
      <c r="H17" s="34" t="s">
        <v>27</v>
      </c>
      <c r="I17" s="34" t="s">
        <v>28</v>
      </c>
      <c r="J17" s="35" t="s">
        <v>29</v>
      </c>
      <c r="K17" s="35" t="s">
        <v>60</v>
      </c>
      <c r="L17" s="35" t="s">
        <v>68</v>
      </c>
      <c r="M17" s="35" t="s">
        <v>69</v>
      </c>
      <c r="N17" s="35" t="s">
        <v>70</v>
      </c>
    </row>
    <row r="18" spans="1:14" x14ac:dyDescent="0.3">
      <c r="A18" s="2" t="s">
        <v>18</v>
      </c>
      <c r="B18" s="30">
        <f>+B19/4</f>
        <v>14772.5</v>
      </c>
      <c r="C18" s="62">
        <f>+B18</f>
        <v>14772.5</v>
      </c>
      <c r="D18" s="63">
        <f>+C18*D20/C20</f>
        <v>15220.118023342811</v>
      </c>
      <c r="E18" s="63">
        <f t="shared" ref="E18:N18" si="2">+D18*E20/D20</f>
        <v>15151.593782732307</v>
      </c>
      <c r="F18" s="63">
        <f t="shared" si="2"/>
        <v>0</v>
      </c>
      <c r="G18" s="63" t="e">
        <f t="shared" si="2"/>
        <v>#DIV/0!</v>
      </c>
      <c r="H18" s="63" t="e">
        <f t="shared" si="2"/>
        <v>#DIV/0!</v>
      </c>
      <c r="I18" s="63" t="e">
        <f t="shared" si="2"/>
        <v>#DIV/0!</v>
      </c>
      <c r="J18" s="63" t="e">
        <f t="shared" si="2"/>
        <v>#DIV/0!</v>
      </c>
      <c r="K18" s="63" t="e">
        <f t="shared" si="2"/>
        <v>#DIV/0!</v>
      </c>
      <c r="L18" s="63" t="e">
        <f t="shared" si="2"/>
        <v>#DIV/0!</v>
      </c>
      <c r="M18" s="63" t="e">
        <f t="shared" si="2"/>
        <v>#DIV/0!</v>
      </c>
      <c r="N18" s="63" t="e">
        <f t="shared" si="2"/>
        <v>#DIV/0!</v>
      </c>
    </row>
    <row r="19" spans="1:14" x14ac:dyDescent="0.3">
      <c r="A19" s="2" t="s">
        <v>15</v>
      </c>
      <c r="B19" s="30">
        <v>59090</v>
      </c>
      <c r="C19" s="25">
        <f>+B19</f>
        <v>59090</v>
      </c>
      <c r="D19" s="24">
        <f>+C19*D20/C20-D21</f>
        <v>60880.472093371245</v>
      </c>
      <c r="E19" s="24">
        <f t="shared" ref="E19:N19" si="3">+D19*E20/D20-E21</f>
        <v>60606.375130929227</v>
      </c>
      <c r="F19" s="24">
        <f t="shared" si="3"/>
        <v>0</v>
      </c>
      <c r="G19" s="24" t="e">
        <f t="shared" si="3"/>
        <v>#DIV/0!</v>
      </c>
      <c r="H19" s="24" t="e">
        <f t="shared" si="3"/>
        <v>#DIV/0!</v>
      </c>
      <c r="I19" s="24" t="e">
        <f t="shared" si="3"/>
        <v>#DIV/0!</v>
      </c>
      <c r="J19" s="24" t="e">
        <f t="shared" si="3"/>
        <v>#DIV/0!</v>
      </c>
      <c r="K19" s="24" t="e">
        <f t="shared" si="3"/>
        <v>#DIV/0!</v>
      </c>
      <c r="L19" s="24" t="e">
        <f t="shared" si="3"/>
        <v>#DIV/0!</v>
      </c>
      <c r="M19" s="24" t="e">
        <f t="shared" si="3"/>
        <v>#DIV/0!</v>
      </c>
      <c r="N19" s="24" t="e">
        <f t="shared" si="3"/>
        <v>#DIV/0!</v>
      </c>
    </row>
    <row r="20" spans="1:14" ht="15" thickBot="1" x14ac:dyDescent="0.35">
      <c r="A20" s="7" t="s">
        <v>20</v>
      </c>
      <c r="B20" s="31">
        <v>133.66</v>
      </c>
      <c r="C20" s="64">
        <v>133.66</v>
      </c>
      <c r="D20" s="65">
        <v>137.71</v>
      </c>
      <c r="E20" s="65">
        <v>137.09</v>
      </c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" thickBot="1" x14ac:dyDescent="0.35">
      <c r="A21" s="2" t="s">
        <v>19</v>
      </c>
      <c r="B21" s="26"/>
      <c r="C21" s="39">
        <v>0</v>
      </c>
      <c r="D21" s="39">
        <v>0</v>
      </c>
      <c r="E21" s="39">
        <v>0</v>
      </c>
      <c r="F21" s="39"/>
      <c r="G21" s="39"/>
      <c r="H21" s="39"/>
      <c r="I21" s="39"/>
      <c r="J21" s="39"/>
      <c r="K21" s="40"/>
      <c r="L21" s="40"/>
      <c r="M21" s="40"/>
      <c r="N21" s="40"/>
    </row>
    <row r="22" spans="1:14" ht="15" thickBot="1" x14ac:dyDescent="0.35">
      <c r="A22" s="20" t="s">
        <v>65</v>
      </c>
      <c r="B22" s="18">
        <f>+B19/4</f>
        <v>14772.5</v>
      </c>
      <c r="C22" s="23">
        <f t="shared" ref="C22:K22" si="4">+C19/4</f>
        <v>14772.5</v>
      </c>
      <c r="D22" s="23">
        <f t="shared" si="4"/>
        <v>15220.118023342811</v>
      </c>
      <c r="E22" s="23">
        <f t="shared" si="4"/>
        <v>15151.593782732307</v>
      </c>
      <c r="F22" s="23">
        <f t="shared" si="4"/>
        <v>0</v>
      </c>
      <c r="G22" s="23" t="e">
        <f t="shared" si="4"/>
        <v>#DIV/0!</v>
      </c>
      <c r="H22" s="23" t="e">
        <f t="shared" si="4"/>
        <v>#DIV/0!</v>
      </c>
      <c r="I22" s="23" t="e">
        <f t="shared" si="4"/>
        <v>#DIV/0!</v>
      </c>
      <c r="J22" s="23" t="e">
        <f t="shared" si="4"/>
        <v>#DIV/0!</v>
      </c>
      <c r="K22" s="23" t="e">
        <f t="shared" si="4"/>
        <v>#DIV/0!</v>
      </c>
      <c r="L22" s="23" t="e">
        <f t="shared" ref="L22:M22" si="5">+L19/4</f>
        <v>#DIV/0!</v>
      </c>
      <c r="M22" s="23" t="e">
        <f t="shared" si="5"/>
        <v>#DIV/0!</v>
      </c>
      <c r="N22" s="23" t="e">
        <f t="shared" ref="N22" si="6">+N19/4</f>
        <v>#DIV/0!</v>
      </c>
    </row>
    <row r="23" spans="1:14" x14ac:dyDescent="0.3">
      <c r="A23" s="66" t="s">
        <v>72</v>
      </c>
      <c r="B23" s="67"/>
      <c r="C23" s="69">
        <f>+C19-D9</f>
        <v>-33103.926900816616</v>
      </c>
      <c r="D23" s="67">
        <f>+(D19-E9)/4</f>
        <v>-8526.7502871305096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</row>
    <row r="24" spans="1:14" x14ac:dyDescent="0.3">
      <c r="A24" s="66" t="s">
        <v>73</v>
      </c>
      <c r="B24" s="67"/>
      <c r="C24" s="69">
        <f>+C18-D8</f>
        <v>-8275.9817252041539</v>
      </c>
      <c r="D24" s="69">
        <f>+D18-C18-(E8-D8)</f>
        <v>-250.76856192635569</v>
      </c>
      <c r="E24" s="74"/>
      <c r="F24" s="57"/>
      <c r="G24" s="57"/>
      <c r="H24" s="57"/>
      <c r="I24" s="57"/>
      <c r="J24" s="57"/>
      <c r="K24" s="57"/>
      <c r="L24" s="57"/>
      <c r="M24" s="57"/>
      <c r="N24" s="57"/>
    </row>
    <row r="25" spans="1:14" x14ac:dyDescent="0.3">
      <c r="D25" s="55"/>
    </row>
    <row r="26" spans="1:14" x14ac:dyDescent="0.3">
      <c r="A26" s="16" t="s">
        <v>30</v>
      </c>
      <c r="B26" s="17"/>
      <c r="E26" s="55"/>
    </row>
  </sheetData>
  <mergeCells count="1">
    <mergeCell ref="A1:B1"/>
  </mergeCells>
  <phoneticPr fontId="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24-8CD8-444B-ADA0-BE7D99CFE145}">
  <dimension ref="A1:K9"/>
  <sheetViews>
    <sheetView workbookViewId="0">
      <selection sqref="A1:K1"/>
    </sheetView>
  </sheetViews>
  <sheetFormatPr baseColWidth="10" defaultRowHeight="14.4" x14ac:dyDescent="0.3"/>
  <cols>
    <col min="1" max="1" width="27.5546875" bestFit="1" customWidth="1"/>
    <col min="3" max="3" width="13.5546875" customWidth="1"/>
    <col min="4" max="4" width="13.77734375" customWidth="1"/>
    <col min="5" max="5" width="13.5546875" customWidth="1"/>
    <col min="6" max="6" width="14" customWidth="1"/>
  </cols>
  <sheetData>
    <row r="1" spans="1:11" ht="15" thickBot="1" x14ac:dyDescent="0.35">
      <c r="A1" s="72" t="s">
        <v>33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x14ac:dyDescent="0.3">
      <c r="A2" s="1" t="s">
        <v>3</v>
      </c>
      <c r="B2" s="5">
        <v>2023</v>
      </c>
      <c r="C2" s="5">
        <v>2024</v>
      </c>
      <c r="D2" s="5">
        <v>2025</v>
      </c>
      <c r="E2" s="5">
        <v>2026</v>
      </c>
      <c r="F2" s="5">
        <v>2027</v>
      </c>
      <c r="G2" s="5">
        <v>2028</v>
      </c>
      <c r="H2" s="5">
        <v>2029</v>
      </c>
      <c r="I2" s="5">
        <v>2030</v>
      </c>
      <c r="J2" s="5">
        <v>2031</v>
      </c>
      <c r="K2" s="5">
        <v>2032</v>
      </c>
    </row>
    <row r="3" spans="1:11" x14ac:dyDescent="0.3">
      <c r="A3" s="7" t="s">
        <v>5</v>
      </c>
      <c r="B3" s="9">
        <v>7250</v>
      </c>
      <c r="C3" s="3"/>
      <c r="D3" s="8"/>
      <c r="E3" s="8"/>
      <c r="F3" s="8"/>
      <c r="G3" s="8"/>
      <c r="H3" s="8"/>
      <c r="I3" s="8"/>
      <c r="J3" s="8"/>
      <c r="K3" s="8"/>
    </row>
    <row r="4" spans="1:11" x14ac:dyDescent="0.3">
      <c r="A4" s="2" t="s">
        <v>6</v>
      </c>
      <c r="B4" s="8"/>
      <c r="C4" s="3"/>
      <c r="D4" s="8"/>
      <c r="E4" s="8"/>
      <c r="F4" s="8"/>
      <c r="G4" s="8"/>
      <c r="H4" s="8"/>
      <c r="I4" s="8"/>
      <c r="J4" s="8"/>
      <c r="K4" s="8"/>
    </row>
    <row r="5" spans="1:11" x14ac:dyDescent="0.3">
      <c r="A5" s="2" t="s">
        <v>7</v>
      </c>
      <c r="B5" s="10">
        <v>7151.35</v>
      </c>
      <c r="C5" s="8"/>
      <c r="D5" s="8"/>
      <c r="E5" s="8"/>
      <c r="F5" s="8"/>
      <c r="G5" s="8"/>
      <c r="H5" s="8"/>
      <c r="I5" s="8"/>
      <c r="J5" s="8"/>
      <c r="K5" s="8"/>
    </row>
    <row r="6" spans="1:11" ht="15" thickBot="1" x14ac:dyDescent="0.35">
      <c r="A6" s="4" t="s">
        <v>8</v>
      </c>
      <c r="B6" s="11"/>
      <c r="C6" s="12"/>
      <c r="D6" s="11"/>
      <c r="E6" s="11"/>
      <c r="F6" s="11"/>
      <c r="G6" s="11"/>
      <c r="H6" s="11"/>
      <c r="I6" s="11"/>
      <c r="J6" s="11"/>
      <c r="K6" s="11"/>
    </row>
    <row r="7" spans="1:11" x14ac:dyDescent="0.3">
      <c r="A7" s="56" t="s">
        <v>64</v>
      </c>
      <c r="B7" s="55">
        <f>+B5-B3</f>
        <v>-98.649999999999636</v>
      </c>
      <c r="C7" s="55">
        <f t="shared" ref="C7:K7" si="0">+C5-C3</f>
        <v>0</v>
      </c>
      <c r="D7" s="55">
        <f t="shared" si="0"/>
        <v>0</v>
      </c>
      <c r="E7" s="55">
        <f t="shared" si="0"/>
        <v>0</v>
      </c>
      <c r="F7" s="55">
        <f t="shared" si="0"/>
        <v>0</v>
      </c>
      <c r="G7" s="55">
        <f t="shared" si="0"/>
        <v>0</v>
      </c>
      <c r="H7" s="55">
        <f t="shared" si="0"/>
        <v>0</v>
      </c>
      <c r="I7" s="55">
        <f t="shared" si="0"/>
        <v>0</v>
      </c>
      <c r="J7" s="55">
        <f t="shared" si="0"/>
        <v>0</v>
      </c>
      <c r="K7" s="55">
        <f t="shared" si="0"/>
        <v>0</v>
      </c>
    </row>
    <row r="9" spans="1:11" x14ac:dyDescent="0.3">
      <c r="C9" s="15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8B2-DB7A-4177-8D9E-228E1C45B800}">
  <dimension ref="A1:L6"/>
  <sheetViews>
    <sheetView workbookViewId="0">
      <selection activeCell="M1" sqref="M1"/>
    </sheetView>
  </sheetViews>
  <sheetFormatPr baseColWidth="10" defaultRowHeight="14.4" x14ac:dyDescent="0.3"/>
  <cols>
    <col min="1" max="1" width="32.21875" bestFit="1" customWidth="1"/>
  </cols>
  <sheetData>
    <row r="1" spans="1:12" ht="15" thickBot="1" x14ac:dyDescent="0.35">
      <c r="A1" s="72" t="s">
        <v>32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x14ac:dyDescent="0.3">
      <c r="A2" s="1" t="s">
        <v>9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2" t="s">
        <v>10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11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12</v>
      </c>
      <c r="B5" s="8" t="s">
        <v>14</v>
      </c>
      <c r="C5" s="10"/>
      <c r="D5" s="13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13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F376-344E-4435-B646-3269B18E67E8}">
  <dimension ref="B4:E39"/>
  <sheetViews>
    <sheetView showGridLines="0" topLeftCell="A6" zoomScale="130" zoomScaleNormal="130" workbookViewId="0">
      <selection activeCell="F30" sqref="A30:F30"/>
    </sheetView>
  </sheetViews>
  <sheetFormatPr baseColWidth="10" defaultRowHeight="14.4" x14ac:dyDescent="0.3"/>
  <cols>
    <col min="2" max="2" width="20.77734375" customWidth="1"/>
    <col min="3" max="3" width="40.6640625" customWidth="1"/>
    <col min="4" max="5" width="17" customWidth="1"/>
  </cols>
  <sheetData>
    <row r="4" spans="2:2" x14ac:dyDescent="0.3">
      <c r="B4" t="s">
        <v>53</v>
      </c>
    </row>
    <row r="6" spans="2:2" x14ac:dyDescent="0.3">
      <c r="B6" t="s">
        <v>54</v>
      </c>
    </row>
    <row r="7" spans="2:2" x14ac:dyDescent="0.3">
      <c r="B7" t="s">
        <v>55</v>
      </c>
    </row>
    <row r="8" spans="2:2" x14ac:dyDescent="0.3">
      <c r="B8" t="s">
        <v>56</v>
      </c>
    </row>
    <row r="18" spans="2:5" x14ac:dyDescent="0.3">
      <c r="B18" s="41"/>
      <c r="C18" s="41"/>
      <c r="D18" s="42" t="s">
        <v>35</v>
      </c>
      <c r="E18" s="42" t="s">
        <v>36</v>
      </c>
    </row>
    <row r="19" spans="2:5" x14ac:dyDescent="0.3">
      <c r="B19" s="41"/>
      <c r="C19" s="43" t="s">
        <v>37</v>
      </c>
      <c r="D19" s="44">
        <v>75000</v>
      </c>
      <c r="E19" s="45">
        <f t="shared" ref="E19:E20" si="0">D19*1.2</f>
        <v>90000</v>
      </c>
    </row>
    <row r="20" spans="2:5" x14ac:dyDescent="0.3">
      <c r="B20" s="41"/>
      <c r="C20" s="43" t="s">
        <v>38</v>
      </c>
      <c r="D20" s="44">
        <v>119100</v>
      </c>
      <c r="E20" s="45">
        <f t="shared" si="0"/>
        <v>142920</v>
      </c>
    </row>
    <row r="21" spans="2:5" x14ac:dyDescent="0.3">
      <c r="B21" s="46"/>
      <c r="C21" s="43" t="s">
        <v>39</v>
      </c>
      <c r="D21" s="44">
        <f>SUM(D24:D37)</f>
        <v>83474</v>
      </c>
      <c r="E21" s="44">
        <f>SUM(E24:E37)</f>
        <v>100168.8</v>
      </c>
    </row>
    <row r="22" spans="2:5" x14ac:dyDescent="0.3">
      <c r="B22" s="41"/>
      <c r="C22" s="43" t="s">
        <v>40</v>
      </c>
      <c r="D22" s="47">
        <f>D20-D21</f>
        <v>35626</v>
      </c>
      <c r="E22" s="47">
        <f>E20-E21</f>
        <v>42751.199999999997</v>
      </c>
    </row>
    <row r="23" spans="2:5" x14ac:dyDescent="0.3">
      <c r="B23" s="48" t="s">
        <v>41</v>
      </c>
      <c r="C23" s="48" t="s">
        <v>42</v>
      </c>
      <c r="D23" s="48" t="s">
        <v>35</v>
      </c>
      <c r="E23" s="48" t="s">
        <v>36</v>
      </c>
    </row>
    <row r="24" spans="2:5" x14ac:dyDescent="0.3">
      <c r="B24" s="49" t="s">
        <v>52</v>
      </c>
      <c r="C24" s="49" t="s">
        <v>43</v>
      </c>
      <c r="D24" s="45">
        <v>16500</v>
      </c>
      <c r="E24" s="45">
        <f>D24*1.2</f>
        <v>19800</v>
      </c>
    </row>
    <row r="25" spans="2:5" x14ac:dyDescent="0.3">
      <c r="B25" s="49" t="s">
        <v>44</v>
      </c>
      <c r="C25" s="49" t="s">
        <v>45</v>
      </c>
      <c r="D25" s="45">
        <v>1861</v>
      </c>
      <c r="E25" s="45">
        <f>D25*1.2</f>
        <v>2233.1999999999998</v>
      </c>
    </row>
    <row r="26" spans="2:5" x14ac:dyDescent="0.3">
      <c r="B26" s="49" t="s">
        <v>44</v>
      </c>
      <c r="C26" s="49" t="s">
        <v>46</v>
      </c>
      <c r="D26" s="45">
        <v>15113</v>
      </c>
      <c r="E26" s="45">
        <f>D26*1.2</f>
        <v>18135.599999999999</v>
      </c>
    </row>
    <row r="27" spans="2:5" x14ac:dyDescent="0.3">
      <c r="B27" s="49" t="s">
        <v>47</v>
      </c>
      <c r="C27" s="50" t="s">
        <v>48</v>
      </c>
      <c r="D27" s="45">
        <v>20000</v>
      </c>
      <c r="E27" s="45">
        <f t="shared" ref="E27:E37" si="1">D27*1.2</f>
        <v>24000</v>
      </c>
    </row>
    <row r="28" spans="2:5" x14ac:dyDescent="0.3">
      <c r="B28" s="49" t="s">
        <v>47</v>
      </c>
      <c r="C28" s="49" t="s">
        <v>49</v>
      </c>
      <c r="D28" s="45">
        <v>10000</v>
      </c>
      <c r="E28" s="45">
        <f t="shared" si="1"/>
        <v>12000</v>
      </c>
    </row>
    <row r="29" spans="2:5" x14ac:dyDescent="0.3">
      <c r="B29" s="49" t="s">
        <v>47</v>
      </c>
      <c r="C29" s="49" t="s">
        <v>50</v>
      </c>
      <c r="D29" s="45">
        <v>20000</v>
      </c>
      <c r="E29" s="45">
        <f t="shared" si="1"/>
        <v>24000</v>
      </c>
    </row>
    <row r="30" spans="2:5" x14ac:dyDescent="0.3">
      <c r="B30" s="49"/>
      <c r="C30" s="49"/>
      <c r="D30" s="45"/>
      <c r="E30" s="45"/>
    </row>
    <row r="31" spans="2:5" x14ac:dyDescent="0.3">
      <c r="B31" s="49"/>
      <c r="C31" s="49"/>
      <c r="D31" s="45"/>
      <c r="E31" s="45">
        <f t="shared" si="1"/>
        <v>0</v>
      </c>
    </row>
    <row r="32" spans="2:5" x14ac:dyDescent="0.3">
      <c r="B32" s="49"/>
      <c r="C32" s="49"/>
      <c r="D32" s="45"/>
      <c r="E32" s="45">
        <f t="shared" si="1"/>
        <v>0</v>
      </c>
    </row>
    <row r="33" spans="2:5" x14ac:dyDescent="0.3">
      <c r="B33" s="49"/>
      <c r="C33" s="49"/>
      <c r="D33" s="45"/>
      <c r="E33" s="45">
        <f t="shared" si="1"/>
        <v>0</v>
      </c>
    </row>
    <row r="34" spans="2:5" x14ac:dyDescent="0.3">
      <c r="B34" s="49"/>
      <c r="C34" s="49"/>
      <c r="D34" s="45"/>
      <c r="E34" s="45">
        <f t="shared" si="1"/>
        <v>0</v>
      </c>
    </row>
    <row r="35" spans="2:5" x14ac:dyDescent="0.3">
      <c r="B35" s="49"/>
      <c r="C35" s="49"/>
      <c r="D35" s="45"/>
      <c r="E35" s="45">
        <f t="shared" si="1"/>
        <v>0</v>
      </c>
    </row>
    <row r="36" spans="2:5" x14ac:dyDescent="0.3">
      <c r="B36" s="49"/>
      <c r="C36" s="49"/>
      <c r="D36" s="45"/>
      <c r="E36" s="45">
        <f t="shared" si="1"/>
        <v>0</v>
      </c>
    </row>
    <row r="37" spans="2:5" x14ac:dyDescent="0.3">
      <c r="B37" s="49"/>
      <c r="C37" s="49" t="s">
        <v>51</v>
      </c>
      <c r="D37" s="45"/>
      <c r="E37" s="45">
        <f t="shared" si="1"/>
        <v>0</v>
      </c>
    </row>
    <row r="38" spans="2:5" x14ac:dyDescent="0.3">
      <c r="B38" s="41"/>
      <c r="C38" s="41"/>
      <c r="D38" s="51"/>
      <c r="E38" s="51"/>
    </row>
    <row r="39" spans="2:5" x14ac:dyDescent="0.3">
      <c r="B39" s="41"/>
      <c r="C39" s="41" t="s">
        <v>51</v>
      </c>
      <c r="D39" s="45">
        <f>D21*8/100</f>
        <v>6677.92</v>
      </c>
      <c r="E39" s="5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CC1B-F6A3-4F6A-B325-2E895A799D41}">
  <dimension ref="A1:D22"/>
  <sheetViews>
    <sheetView showGridLines="0" zoomScale="145" zoomScaleNormal="145" workbookViewId="0">
      <selection activeCell="J12" sqref="I12:J12"/>
    </sheetView>
  </sheetViews>
  <sheetFormatPr baseColWidth="10" defaultRowHeight="14.4" outlineLevelRow="1" x14ac:dyDescent="0.3"/>
  <cols>
    <col min="2" max="2" width="34.88671875" bestFit="1" customWidth="1"/>
    <col min="3" max="4" width="11.21875" bestFit="1" customWidth="1"/>
  </cols>
  <sheetData>
    <row r="1" spans="1:4" x14ac:dyDescent="0.3">
      <c r="A1" s="41"/>
      <c r="B1" s="41"/>
      <c r="C1" s="42" t="s">
        <v>35</v>
      </c>
      <c r="D1" s="42" t="s">
        <v>36</v>
      </c>
    </row>
    <row r="2" spans="1:4" x14ac:dyDescent="0.3">
      <c r="A2" s="41"/>
      <c r="B2" s="43" t="s">
        <v>57</v>
      </c>
      <c r="C2" s="44">
        <v>75000</v>
      </c>
      <c r="D2" s="45">
        <f t="shared" ref="D2:D3" si="0">C2*1.2</f>
        <v>90000</v>
      </c>
    </row>
    <row r="3" spans="1:4" x14ac:dyDescent="0.3">
      <c r="A3" s="41"/>
      <c r="B3" s="43" t="s">
        <v>58</v>
      </c>
      <c r="C3" s="44">
        <v>119100</v>
      </c>
      <c r="D3" s="45">
        <f t="shared" si="0"/>
        <v>142920</v>
      </c>
    </row>
    <row r="4" spans="1:4" x14ac:dyDescent="0.3">
      <c r="A4" s="46"/>
      <c r="B4" s="43" t="s">
        <v>39</v>
      </c>
      <c r="C4" s="52">
        <f>SUM(C7:C20)</f>
        <v>83474</v>
      </c>
      <c r="D4" s="52">
        <f>SUM(D7:D20)</f>
        <v>100168.8</v>
      </c>
    </row>
    <row r="5" spans="1:4" x14ac:dyDescent="0.3">
      <c r="A5" s="41"/>
      <c r="B5" s="43" t="s">
        <v>59</v>
      </c>
      <c r="C5" s="54">
        <f>C3-C4</f>
        <v>35626</v>
      </c>
      <c r="D5" s="54">
        <f>D3-D4</f>
        <v>42751.199999999997</v>
      </c>
    </row>
    <row r="6" spans="1:4" x14ac:dyDescent="0.3">
      <c r="A6" s="48" t="s">
        <v>41</v>
      </c>
      <c r="B6" s="48" t="s">
        <v>42</v>
      </c>
      <c r="C6" s="48" t="s">
        <v>35</v>
      </c>
      <c r="D6" s="48" t="s">
        <v>36</v>
      </c>
    </row>
    <row r="7" spans="1:4" x14ac:dyDescent="0.3">
      <c r="A7" s="49" t="s">
        <v>52</v>
      </c>
      <c r="B7" s="49" t="s">
        <v>43</v>
      </c>
      <c r="C7" s="53">
        <v>16500</v>
      </c>
      <c r="D7" s="53">
        <f>C7*1.2</f>
        <v>19800</v>
      </c>
    </row>
    <row r="8" spans="1:4" x14ac:dyDescent="0.3">
      <c r="A8" s="49" t="s">
        <v>44</v>
      </c>
      <c r="B8" s="49" t="s">
        <v>45</v>
      </c>
      <c r="C8" s="53">
        <v>1861</v>
      </c>
      <c r="D8" s="53">
        <f>C8*1.2</f>
        <v>2233.1999999999998</v>
      </c>
    </row>
    <row r="9" spans="1:4" x14ac:dyDescent="0.3">
      <c r="A9" s="49" t="s">
        <v>44</v>
      </c>
      <c r="B9" s="49" t="s">
        <v>46</v>
      </c>
      <c r="C9" s="53">
        <v>15113</v>
      </c>
      <c r="D9" s="53">
        <f>C9*1.2</f>
        <v>18135.599999999999</v>
      </c>
    </row>
    <row r="10" spans="1:4" x14ac:dyDescent="0.3">
      <c r="A10" s="49" t="s">
        <v>47</v>
      </c>
      <c r="B10" s="50" t="s">
        <v>48</v>
      </c>
      <c r="C10" s="53">
        <v>20000</v>
      </c>
      <c r="D10" s="53">
        <f t="shared" ref="D10:D20" si="1">C10*1.2</f>
        <v>24000</v>
      </c>
    </row>
    <row r="11" spans="1:4" x14ac:dyDescent="0.3">
      <c r="A11" s="49" t="s">
        <v>47</v>
      </c>
      <c r="B11" s="49" t="s">
        <v>49</v>
      </c>
      <c r="C11" s="53">
        <v>10000</v>
      </c>
      <c r="D11" s="53">
        <f t="shared" si="1"/>
        <v>12000</v>
      </c>
    </row>
    <row r="12" spans="1:4" x14ac:dyDescent="0.3">
      <c r="A12" s="49" t="s">
        <v>47</v>
      </c>
      <c r="B12" s="49" t="s">
        <v>50</v>
      </c>
      <c r="C12" s="53">
        <v>20000</v>
      </c>
      <c r="D12" s="53">
        <f t="shared" si="1"/>
        <v>24000</v>
      </c>
    </row>
    <row r="13" spans="1:4" hidden="1" outlineLevel="1" x14ac:dyDescent="0.3">
      <c r="A13" s="49"/>
      <c r="B13" s="49"/>
      <c r="C13" s="45"/>
      <c r="D13" s="45"/>
    </row>
    <row r="14" spans="1:4" hidden="1" outlineLevel="1" x14ac:dyDescent="0.3">
      <c r="A14" s="49"/>
      <c r="B14" s="49"/>
      <c r="C14" s="45"/>
      <c r="D14" s="45">
        <f t="shared" si="1"/>
        <v>0</v>
      </c>
    </row>
    <row r="15" spans="1:4" hidden="1" outlineLevel="1" x14ac:dyDescent="0.3">
      <c r="A15" s="49"/>
      <c r="B15" s="49"/>
      <c r="C15" s="45"/>
      <c r="D15" s="45">
        <f t="shared" si="1"/>
        <v>0</v>
      </c>
    </row>
    <row r="16" spans="1:4" hidden="1" outlineLevel="1" x14ac:dyDescent="0.3">
      <c r="A16" s="49"/>
      <c r="B16" s="49"/>
      <c r="C16" s="45"/>
      <c r="D16" s="45">
        <f t="shared" si="1"/>
        <v>0</v>
      </c>
    </row>
    <row r="17" spans="1:4" hidden="1" outlineLevel="1" x14ac:dyDescent="0.3">
      <c r="A17" s="49"/>
      <c r="B17" s="49"/>
      <c r="C17" s="45"/>
      <c r="D17" s="45">
        <f t="shared" si="1"/>
        <v>0</v>
      </c>
    </row>
    <row r="18" spans="1:4" hidden="1" outlineLevel="1" x14ac:dyDescent="0.3">
      <c r="A18" s="49"/>
      <c r="B18" s="49"/>
      <c r="C18" s="45"/>
      <c r="D18" s="45">
        <f t="shared" si="1"/>
        <v>0</v>
      </c>
    </row>
    <row r="19" spans="1:4" collapsed="1" x14ac:dyDescent="0.3">
      <c r="A19" s="49"/>
      <c r="B19" s="49"/>
      <c r="C19" s="45"/>
      <c r="D19" s="45">
        <f t="shared" si="1"/>
        <v>0</v>
      </c>
    </row>
    <row r="20" spans="1:4" x14ac:dyDescent="0.3">
      <c r="A20" s="49"/>
      <c r="B20" s="49" t="s">
        <v>51</v>
      </c>
      <c r="C20" s="45"/>
      <c r="D20" s="45">
        <f t="shared" si="1"/>
        <v>0</v>
      </c>
    </row>
    <row r="21" spans="1:4" x14ac:dyDescent="0.3">
      <c r="A21" s="41"/>
      <c r="B21" s="41"/>
      <c r="C21" s="51"/>
      <c r="D21" s="51"/>
    </row>
    <row r="22" spans="1:4" x14ac:dyDescent="0.3">
      <c r="A22" s="41"/>
      <c r="B22" s="41" t="s">
        <v>51</v>
      </c>
      <c r="C22" s="45">
        <f>C4*8/100</f>
        <v>6677.92</v>
      </c>
      <c r="D22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BAIL</vt:lpstr>
      <vt:lpstr>CHARGES</vt:lpstr>
      <vt:lpstr>TAXES</vt:lpstr>
      <vt:lpstr>ANNEXE 6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dcterms:created xsi:type="dcterms:W3CDTF">2019-06-13T13:19:30Z</dcterms:created>
  <dcterms:modified xsi:type="dcterms:W3CDTF">2026-01-27T09:55:29Z</dcterms:modified>
</cp:coreProperties>
</file>