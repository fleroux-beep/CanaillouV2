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47 Nice - SCI ARMEE ORIENT\"/>
    </mc:Choice>
  </mc:AlternateContent>
  <xr:revisionPtr revIDLastSave="0" documentId="13_ncr:1_{FEFC5F1E-7CAE-40E5-B0DB-6647CFDB47AC}" xr6:coauthVersionLast="47" xr6:coauthVersionMax="47" xr10:uidLastSave="{00000000-0000-0000-0000-000000000000}"/>
  <bookViews>
    <workbookView xWindow="28680" yWindow="-120" windowWidth="29040" windowHeight="15720" xr2:uid="{2BC2E6E9-C79E-4F52-80EC-D2476AE53E0B}"/>
  </bookViews>
  <sheets>
    <sheet name="BAIL" sheetId="1" r:id="rId1"/>
    <sheet name="CHARGES" sheetId="2" r:id="rId2"/>
    <sheet name="TAX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H7" i="2"/>
  <c r="I7" i="2"/>
  <c r="J7" i="2"/>
  <c r="K7" i="2"/>
  <c r="B7" i="2"/>
  <c r="C10" i="1"/>
  <c r="C9" i="1" l="1"/>
  <c r="C12" i="1" s="1"/>
  <c r="C8" i="1" l="1"/>
  <c r="B12" i="1"/>
  <c r="D9" i="1"/>
  <c r="E9" i="1" s="1"/>
  <c r="D8" i="1" l="1"/>
  <c r="E8" i="1" s="1"/>
  <c r="F8" i="1" s="1"/>
  <c r="G8" i="1" s="1"/>
  <c r="H8" i="1" s="1"/>
  <c r="I8" i="1" s="1"/>
  <c r="J8" i="1" s="1"/>
  <c r="K8" i="1" s="1"/>
  <c r="L8" i="1" s="1"/>
  <c r="D12" i="1" l="1"/>
  <c r="F9" i="1" l="1"/>
  <c r="E12" i="1"/>
  <c r="G9" i="1" l="1"/>
  <c r="F12" i="1"/>
  <c r="H9" i="1" l="1"/>
  <c r="G12" i="1"/>
  <c r="I9" i="1" l="1"/>
  <c r="H12" i="1"/>
  <c r="J9" i="1" l="1"/>
  <c r="I12" i="1"/>
  <c r="K9" i="1" l="1"/>
  <c r="J12" i="1"/>
  <c r="K12" i="1" l="1"/>
  <c r="L9" i="1"/>
  <c r="L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tc={608A678D-F669-49FB-912A-0E0E3E903D45}</author>
  </authors>
  <commentList>
    <comment ref="B9" authorId="0" shapeId="0" xr:uid="{608A678D-F669-49FB-912A-0E0E3E903D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6 mois de franchise a compter de la prise d'effet seule les charges sont à payer</t>
      </text>
    </comment>
  </commentList>
</comments>
</file>

<file path=xl/sharedStrings.xml><?xml version="1.0" encoding="utf-8"?>
<sst xmlns="http://schemas.openxmlformats.org/spreadsheetml/2006/main" count="45" uniqueCount="42">
  <si>
    <t>BAILLEUR</t>
  </si>
  <si>
    <t>DATE DU BAIL</t>
  </si>
  <si>
    <t>DUREE</t>
  </si>
  <si>
    <t>ANNEE</t>
  </si>
  <si>
    <t>INITIAL</t>
  </si>
  <si>
    <t xml:space="preserve">PROVISIONS POUR CHARGES </t>
  </si>
  <si>
    <t>FRAIS ASSURANCES</t>
  </si>
  <si>
    <t xml:space="preserve">AUTRES CHARGES </t>
  </si>
  <si>
    <t xml:space="preserve">HONORAIRES </t>
  </si>
  <si>
    <t>ANNEES</t>
  </si>
  <si>
    <t xml:space="preserve">TAXES FONCIERES </t>
  </si>
  <si>
    <t xml:space="preserve">AUTRES TAXES </t>
  </si>
  <si>
    <t>REGULARISATION TAXE FONCIERE</t>
  </si>
  <si>
    <t>AJUSTEMENT DEPOT DE GARANTIE</t>
  </si>
  <si>
    <t>-</t>
  </si>
  <si>
    <t>LOYER ANNUEL HT (HORS CHARGES)</t>
  </si>
  <si>
    <t>LOYER MENSUEL HT (HORS CHARGES)</t>
  </si>
  <si>
    <t>SUPERFICIE</t>
  </si>
  <si>
    <t>DATE PRISE EFFET</t>
  </si>
  <si>
    <t>DEPOT DE GARANTIE 3 mois de loyer</t>
  </si>
  <si>
    <t>REDUCTION</t>
  </si>
  <si>
    <t>INDICE (INDEXATION DU LOYER) ILC 3T</t>
  </si>
  <si>
    <t>SCI ARMEE D'ORIENT</t>
  </si>
  <si>
    <t>charges 12 mois</t>
  </si>
  <si>
    <t>LPC 47 NICE</t>
  </si>
  <si>
    <t>LPC NICE</t>
  </si>
  <si>
    <t>9 ANS</t>
  </si>
  <si>
    <t>8 Rue Armée d’Orient 0600 NICE</t>
  </si>
  <si>
    <t>surface totale de 201m² SUBL + 145m² de jardin à usage exclusif et un emplacement de parking</t>
  </si>
  <si>
    <t>8 MOIS</t>
  </si>
  <si>
    <t>FRANCHISE 8 mois</t>
  </si>
  <si>
    <t>01/01/2023 - 31/12/2023</t>
  </si>
  <si>
    <t>01/01/2024 - 31/12/2024</t>
  </si>
  <si>
    <t>01/01/2025 - 31/12/2025</t>
  </si>
  <si>
    <t>01/01/2026 - 31/12/2026</t>
  </si>
  <si>
    <t>01/01/2027 - 31/12/2027</t>
  </si>
  <si>
    <t>01/01/2028 - 31/12/2028</t>
  </si>
  <si>
    <t>01/01/2029 - 31/12/2029</t>
  </si>
  <si>
    <t>01/01/2030 - 31/12/2030</t>
  </si>
  <si>
    <t>01/01/2031 - 31/12/2031</t>
  </si>
  <si>
    <t>01/01/2032 - 31/12/2032</t>
  </si>
  <si>
    <t>SOLDES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</si>
</sst>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[$€-40C]_-;\-* #,##0.00\ [$€-40C]_-;_-* &quot;-&quot;??\ [$€-40C]_-;_-@_-"/>
    <numFmt numFmtId="166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53">
    <xf numFmtId="0" fontId="0" fillId="0" borderId="0" xfId="0"/>
    <xf numFmtId="0" fontId="2" fillId="2" borderId="3" xfId="0" applyFont="1" applyFill="1" applyBorder="1"/>
    <xf numFmtId="0" fontId="2" fillId="2" borderId="4" xfId="0" applyFont="1" applyFill="1" applyBorder="1"/>
    <xf numFmtId="164" fontId="0" fillId="0" borderId="4" xfId="0" applyNumberFormat="1" applyBorder="1" applyAlignment="1">
      <alignment horizontal="center" vertical="center"/>
    </xf>
    <xf numFmtId="0" fontId="2" fillId="2" borderId="5" xfId="0" applyFont="1" applyFill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/>
    <xf numFmtId="165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5" fontId="0" fillId="0" borderId="0" xfId="0" applyNumberFormat="1"/>
    <xf numFmtId="44" fontId="0" fillId="0" borderId="13" xfId="2" applyFont="1" applyBorder="1"/>
    <xf numFmtId="0" fontId="2" fillId="2" borderId="14" xfId="0" applyFont="1" applyFill="1" applyBorder="1"/>
    <xf numFmtId="0" fontId="2" fillId="2" borderId="15" xfId="0" applyFont="1" applyFill="1" applyBorder="1"/>
    <xf numFmtId="0" fontId="0" fillId="0" borderId="0" xfId="0" applyAlignment="1">
      <alignment wrapText="1"/>
    </xf>
    <xf numFmtId="0" fontId="2" fillId="2" borderId="4" xfId="0" applyFont="1" applyFill="1" applyBorder="1" applyAlignment="1">
      <alignment vertical="center" wrapText="1"/>
    </xf>
    <xf numFmtId="44" fontId="0" fillId="0" borderId="17" xfId="2" applyFont="1" applyBorder="1"/>
    <xf numFmtId="164" fontId="0" fillId="0" borderId="16" xfId="1" applyNumberFormat="1" applyFont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164" fontId="0" fillId="0" borderId="19" xfId="1" applyNumberFormat="1" applyFont="1" applyBorder="1" applyAlignment="1">
      <alignment horizontal="center"/>
    </xf>
    <xf numFmtId="44" fontId="0" fillId="0" borderId="12" xfId="2" applyFont="1" applyBorder="1"/>
    <xf numFmtId="0" fontId="0" fillId="0" borderId="6" xfId="0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64" fontId="0" fillId="0" borderId="24" xfId="1" applyNumberFormat="1" applyFont="1" applyBorder="1" applyAlignment="1">
      <alignment horizontal="center"/>
    </xf>
    <xf numFmtId="164" fontId="0" fillId="0" borderId="25" xfId="1" applyNumberFormat="1" applyFont="1" applyBorder="1" applyAlignment="1">
      <alignment horizontal="center"/>
    </xf>
    <xf numFmtId="164" fontId="0" fillId="0" borderId="26" xfId="1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1" xfId="0" applyBorder="1" applyAlignment="1">
      <alignment horizontal="center"/>
    </xf>
    <xf numFmtId="44" fontId="0" fillId="0" borderId="27" xfId="2" applyFont="1" applyBorder="1"/>
    <xf numFmtId="44" fontId="0" fillId="0" borderId="28" xfId="2" applyFont="1" applyBorder="1"/>
    <xf numFmtId="44" fontId="0" fillId="0" borderId="29" xfId="2" applyFont="1" applyBorder="1"/>
    <xf numFmtId="0" fontId="2" fillId="2" borderId="32" xfId="0" applyFont="1" applyFill="1" applyBorder="1"/>
    <xf numFmtId="0" fontId="0" fillId="4" borderId="21" xfId="0" applyFill="1" applyBorder="1" applyAlignment="1">
      <alignment horizontal="center" vertical="center"/>
    </xf>
    <xf numFmtId="14" fontId="5" fillId="4" borderId="8" xfId="0" applyNumberFormat="1" applyFont="1" applyFill="1" applyBorder="1" applyAlignment="1">
      <alignment horizontal="center" vertical="center"/>
    </xf>
    <xf numFmtId="14" fontId="0" fillId="4" borderId="22" xfId="0" applyNumberFormat="1" applyFill="1" applyBorder="1" applyAlignment="1">
      <alignment horizontal="center" vertical="center" wrapText="1"/>
    </xf>
    <xf numFmtId="164" fontId="0" fillId="4" borderId="22" xfId="0" applyNumberFormat="1" applyFill="1" applyBorder="1" applyAlignment="1">
      <alignment horizontal="center" vertical="center"/>
    </xf>
    <xf numFmtId="6" fontId="0" fillId="4" borderId="12" xfId="0" applyNumberFormat="1" applyFill="1" applyBorder="1"/>
    <xf numFmtId="14" fontId="0" fillId="0" borderId="27" xfId="0" applyNumberFormat="1" applyBorder="1" applyAlignment="1">
      <alignment horizontal="center" wrapText="1"/>
    </xf>
    <xf numFmtId="44" fontId="0" fillId="0" borderId="0" xfId="0" applyNumberFormat="1"/>
    <xf numFmtId="164" fontId="0" fillId="0" borderId="0" xfId="0" applyNumberFormat="1"/>
    <xf numFmtId="165" fontId="0" fillId="0" borderId="7" xfId="0" applyNumberFormat="1" applyBorder="1" applyAlignment="1">
      <alignment horizontal="center" vertical="center"/>
    </xf>
    <xf numFmtId="44" fontId="0" fillId="0" borderId="7" xfId="0" applyNumberFormat="1" applyBorder="1" applyAlignment="1">
      <alignment horizontal="center" vertical="center"/>
    </xf>
    <xf numFmtId="44" fontId="0" fillId="0" borderId="12" xfId="0" applyNumberFormat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</cellXfs>
  <cellStyles count="9">
    <cellStyle name="Milliers" xfId="1" builtinId="3"/>
    <cellStyle name="Milliers 2" xfId="4" xr:uid="{B9846204-6C62-4927-81E7-99FC5BEDB2DA}"/>
    <cellStyle name="Milliers 3" xfId="7" xr:uid="{9EF7544C-81D3-401A-B0B4-7C8B49A753F7}"/>
    <cellStyle name="Monétaire" xfId="2" builtinId="4"/>
    <cellStyle name="Monétaire 2" xfId="8" xr:uid="{143584EA-FF10-4FEC-9E4D-2B5A3C393ACA}"/>
    <cellStyle name="Normal" xfId="0" builtinId="0"/>
    <cellStyle name="Normal 3" xfId="3" xr:uid="{2662C083-AAF0-48B0-81A9-B3D4E15E29EF}"/>
    <cellStyle name="Normal 3 2" xfId="5" xr:uid="{524E673D-AAC1-4056-AC8D-F2FF59039F34}"/>
    <cellStyle name="Pourcentage 2 2" xfId="6" xr:uid="{82CF1F87-9E10-4E9B-BC13-33EAA269D358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14</xdr:row>
      <xdr:rowOff>114300</xdr:rowOff>
    </xdr:from>
    <xdr:to>
      <xdr:col>5</xdr:col>
      <xdr:colOff>322580</xdr:colOff>
      <xdr:row>54</xdr:row>
      <xdr:rowOff>54204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0BAE3CE-225F-4ABA-D6BD-159753EF4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724150"/>
          <a:ext cx="8515350" cy="7178904"/>
        </a:xfrm>
        <a:prstGeom prst="rect">
          <a:avLst/>
        </a:prstGeom>
      </xdr:spPr>
    </xdr:pic>
    <xdr:clientData/>
  </xdr:twoCellAnchor>
  <xdr:twoCellAnchor editAs="oneCell">
    <xdr:from>
      <xdr:col>5</xdr:col>
      <xdr:colOff>1028700</xdr:colOff>
      <xdr:row>15</xdr:row>
      <xdr:rowOff>152400</xdr:rowOff>
    </xdr:from>
    <xdr:to>
      <xdr:col>9</xdr:col>
      <xdr:colOff>1086374</xdr:colOff>
      <xdr:row>47</xdr:row>
      <xdr:rowOff>93842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97161A5-5267-95D5-1FBC-3F71B27FE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67825" y="2943225"/>
          <a:ext cx="6039374" cy="57326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chiaka KONE" id="{5ECAD981-D878-4860-B22D-252DBD34D6CE}" userId="S::ikone@lpc040411.onmicrosoft.com::694664da-ba55-42b4-bfe3-51764e3acdc0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2-05-19T14:55:59.10" personId="{5ECAD981-D878-4860-B22D-252DBD34D6CE}" id="{608A678D-F669-49FB-912A-0E0E3E903D45}">
    <text>6 mois de franchise a compter de la prise d'effet seule les charges sont à payer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3716-0CEF-4925-BB16-587E35F9A5D0}">
  <dimension ref="A1:L14"/>
  <sheetViews>
    <sheetView showGridLines="0" tabSelected="1" workbookViewId="0">
      <selection activeCell="F13" sqref="F13"/>
    </sheetView>
  </sheetViews>
  <sheetFormatPr baseColWidth="10" defaultRowHeight="14.4" x14ac:dyDescent="0.3"/>
  <cols>
    <col min="1" max="1" width="34.77734375" bestFit="1" customWidth="1"/>
    <col min="2" max="2" width="20.44140625" bestFit="1" customWidth="1"/>
    <col min="3" max="3" width="21.33203125" customWidth="1"/>
    <col min="4" max="12" width="21.77734375" bestFit="1" customWidth="1"/>
    <col min="13" max="14" width="15.6640625" customWidth="1"/>
  </cols>
  <sheetData>
    <row r="1" spans="1:12" ht="15" thickBot="1" x14ac:dyDescent="0.35">
      <c r="A1" s="49" t="s">
        <v>25</v>
      </c>
      <c r="B1" s="50"/>
      <c r="C1" t="s">
        <v>27</v>
      </c>
    </row>
    <row r="2" spans="1:12" x14ac:dyDescent="0.3">
      <c r="A2" s="1" t="s">
        <v>0</v>
      </c>
      <c r="B2" s="26" t="s">
        <v>22</v>
      </c>
      <c r="C2" t="s">
        <v>28</v>
      </c>
    </row>
    <row r="3" spans="1:12" x14ac:dyDescent="0.3">
      <c r="A3" s="17" t="s">
        <v>17</v>
      </c>
      <c r="B3" s="38">
        <v>201</v>
      </c>
    </row>
    <row r="4" spans="1:12" x14ac:dyDescent="0.3">
      <c r="A4" s="2" t="s">
        <v>1</v>
      </c>
      <c r="B4" s="39"/>
    </row>
    <row r="5" spans="1:12" x14ac:dyDescent="0.3">
      <c r="A5" s="2" t="s">
        <v>18</v>
      </c>
      <c r="B5" s="39">
        <v>44927</v>
      </c>
    </row>
    <row r="6" spans="1:12" ht="15" thickBot="1" x14ac:dyDescent="0.35">
      <c r="A6" s="2" t="s">
        <v>30</v>
      </c>
      <c r="B6" s="39" t="s">
        <v>29</v>
      </c>
    </row>
    <row r="7" spans="1:12" s="19" customFormat="1" ht="15" customHeight="1" thickBot="1" x14ac:dyDescent="0.35">
      <c r="A7" s="20" t="s">
        <v>2</v>
      </c>
      <c r="B7" s="40" t="s">
        <v>26</v>
      </c>
      <c r="C7" s="43" t="s">
        <v>31</v>
      </c>
      <c r="D7" s="43" t="s">
        <v>32</v>
      </c>
      <c r="E7" s="43" t="s">
        <v>33</v>
      </c>
      <c r="F7" s="43" t="s">
        <v>34</v>
      </c>
      <c r="G7" s="43" t="s">
        <v>35</v>
      </c>
      <c r="H7" s="43" t="s">
        <v>36</v>
      </c>
      <c r="I7" s="43" t="s">
        <v>37</v>
      </c>
      <c r="J7" s="43" t="s">
        <v>38</v>
      </c>
      <c r="K7" s="43" t="s">
        <v>39</v>
      </c>
      <c r="L7" s="43" t="s">
        <v>40</v>
      </c>
    </row>
    <row r="8" spans="1:12" x14ac:dyDescent="0.3">
      <c r="A8" s="2" t="s">
        <v>19</v>
      </c>
      <c r="B8" s="41">
        <v>13750</v>
      </c>
      <c r="C8" s="28">
        <f>+B8</f>
        <v>13750</v>
      </c>
      <c r="D8" s="29">
        <f>+C8*D10/C10</f>
        <v>14570.879251565846</v>
      </c>
      <c r="E8" s="29">
        <f t="shared" ref="E8:K8" si="0">+D8*E10/D10</f>
        <v>15012.388012368194</v>
      </c>
      <c r="F8" s="29">
        <f t="shared" si="0"/>
        <v>14944.79901688734</v>
      </c>
      <c r="G8" s="29">
        <f t="shared" si="0"/>
        <v>109.01450884008564</v>
      </c>
      <c r="H8" s="29">
        <f t="shared" si="0"/>
        <v>218.02901768017128</v>
      </c>
      <c r="I8" s="29">
        <f t="shared" si="0"/>
        <v>327.04352652025693</v>
      </c>
      <c r="J8" s="29">
        <f t="shared" si="0"/>
        <v>436.05803536034256</v>
      </c>
      <c r="K8" s="29">
        <f t="shared" si="0"/>
        <v>545.07254420042818</v>
      </c>
      <c r="L8" s="30">
        <f t="shared" ref="L8" si="1">+K8*L10/K10</f>
        <v>654.08705304051387</v>
      </c>
    </row>
    <row r="9" spans="1:12" x14ac:dyDescent="0.3">
      <c r="A9" s="2" t="s">
        <v>15</v>
      </c>
      <c r="B9" s="41">
        <v>55000</v>
      </c>
      <c r="C9" s="23">
        <f>+B9-C11</f>
        <v>55000</v>
      </c>
      <c r="D9" s="22">
        <f>+C9*D10/C10-D11</f>
        <v>58283.517006263384</v>
      </c>
      <c r="E9" s="22">
        <f>+D9*E10/D10-E11</f>
        <v>60049.552049472775</v>
      </c>
      <c r="F9" s="22">
        <f t="shared" ref="F9:L9" si="2">+E9*F10/E10</f>
        <v>59779.196067549361</v>
      </c>
      <c r="G9" s="22">
        <f t="shared" si="2"/>
        <v>436.05803536034256</v>
      </c>
      <c r="H9" s="22">
        <f t="shared" si="2"/>
        <v>872.11607072068512</v>
      </c>
      <c r="I9" s="22">
        <f t="shared" si="2"/>
        <v>1308.1741060810277</v>
      </c>
      <c r="J9" s="22">
        <f t="shared" si="2"/>
        <v>1744.2321414413702</v>
      </c>
      <c r="K9" s="22">
        <f t="shared" si="2"/>
        <v>2180.2901768017127</v>
      </c>
      <c r="L9" s="24">
        <f t="shared" si="2"/>
        <v>2616.3482121620555</v>
      </c>
    </row>
    <row r="10" spans="1:12" ht="15" thickBot="1" x14ac:dyDescent="0.35">
      <c r="A10" s="7" t="s">
        <v>21</v>
      </c>
      <c r="B10" s="27">
        <v>126.13</v>
      </c>
      <c r="C10" s="31">
        <f>+B10</f>
        <v>126.13</v>
      </c>
      <c r="D10" s="32">
        <v>133.66</v>
      </c>
      <c r="E10" s="32">
        <v>137.71</v>
      </c>
      <c r="F10" s="32">
        <v>137.09</v>
      </c>
      <c r="G10" s="32">
        <v>1</v>
      </c>
      <c r="H10" s="32">
        <v>2</v>
      </c>
      <c r="I10" s="32">
        <v>3</v>
      </c>
      <c r="J10" s="32">
        <v>4</v>
      </c>
      <c r="K10" s="32">
        <v>5</v>
      </c>
      <c r="L10" s="33">
        <v>6</v>
      </c>
    </row>
    <row r="11" spans="1:12" ht="15" thickBot="1" x14ac:dyDescent="0.35">
      <c r="A11" s="2" t="s">
        <v>20</v>
      </c>
      <c r="B11" s="25"/>
      <c r="C11" s="34">
        <v>0</v>
      </c>
      <c r="D11" s="35">
        <v>0</v>
      </c>
      <c r="E11" s="35">
        <v>0</v>
      </c>
      <c r="F11" s="35">
        <v>0</v>
      </c>
      <c r="G11" s="35"/>
      <c r="H11" s="35"/>
      <c r="I11" s="35"/>
      <c r="J11" s="35"/>
      <c r="K11" s="35"/>
      <c r="L11" s="36"/>
    </row>
    <row r="12" spans="1:12" ht="15" thickBot="1" x14ac:dyDescent="0.35">
      <c r="A12" s="18" t="s">
        <v>16</v>
      </c>
      <c r="B12" s="16">
        <f>+B9/4</f>
        <v>13750</v>
      </c>
      <c r="C12" s="21">
        <f>+C9/4</f>
        <v>13750</v>
      </c>
      <c r="D12" s="21">
        <f t="shared" ref="D12:K12" si="3">+D9/4</f>
        <v>14570.879251565846</v>
      </c>
      <c r="E12" s="21">
        <f t="shared" si="3"/>
        <v>15012.388012368194</v>
      </c>
      <c r="F12" s="21">
        <f t="shared" si="3"/>
        <v>14944.79901688734</v>
      </c>
      <c r="G12" s="21">
        <f t="shared" si="3"/>
        <v>109.01450884008564</v>
      </c>
      <c r="H12" s="21">
        <f t="shared" si="3"/>
        <v>218.02901768017128</v>
      </c>
      <c r="I12" s="21">
        <f t="shared" si="3"/>
        <v>327.04352652025693</v>
      </c>
      <c r="J12" s="21">
        <f t="shared" si="3"/>
        <v>436.05803536034256</v>
      </c>
      <c r="K12" s="21">
        <f t="shared" si="3"/>
        <v>545.07254420042818</v>
      </c>
      <c r="L12" s="21">
        <f t="shared" ref="L12" si="4">+L9/4</f>
        <v>654.08705304051387</v>
      </c>
    </row>
    <row r="13" spans="1:12" ht="15" thickBot="1" x14ac:dyDescent="0.35">
      <c r="E13" s="44"/>
      <c r="F13" s="45"/>
    </row>
    <row r="14" spans="1:12" ht="15" thickBot="1" x14ac:dyDescent="0.35">
      <c r="A14" s="37" t="s">
        <v>23</v>
      </c>
      <c r="B14" s="42"/>
      <c r="E14" s="45"/>
    </row>
  </sheetData>
  <mergeCells count="1">
    <mergeCell ref="A1:B1"/>
  </mergeCells>
  <phoneticPr fontId="6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AE24-8CD8-444B-ADA0-BE7D99CFE145}">
  <dimension ref="A1:K9"/>
  <sheetViews>
    <sheetView workbookViewId="0">
      <selection activeCell="C11" sqref="C11"/>
    </sheetView>
  </sheetViews>
  <sheetFormatPr baseColWidth="10" defaultRowHeight="14.4" x14ac:dyDescent="0.3"/>
  <cols>
    <col min="1" max="1" width="27.5546875" bestFit="1" customWidth="1"/>
    <col min="3" max="3" width="13.5546875" customWidth="1"/>
    <col min="4" max="4" width="13.77734375" customWidth="1"/>
    <col min="5" max="5" width="13.5546875" customWidth="1"/>
    <col min="6" max="6" width="14" customWidth="1"/>
  </cols>
  <sheetData>
    <row r="1" spans="1:11" ht="15" thickBot="1" x14ac:dyDescent="0.35">
      <c r="A1" s="51" t="s">
        <v>24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x14ac:dyDescent="0.3">
      <c r="A2" s="1" t="s">
        <v>3</v>
      </c>
      <c r="B2" s="5">
        <v>2023</v>
      </c>
      <c r="C2" s="5">
        <v>2024</v>
      </c>
      <c r="D2" s="5">
        <v>2025</v>
      </c>
      <c r="E2" s="5">
        <v>2026</v>
      </c>
      <c r="F2" s="5">
        <v>2027</v>
      </c>
      <c r="G2" s="5">
        <v>2028</v>
      </c>
      <c r="H2" s="5">
        <v>2029</v>
      </c>
      <c r="I2" s="5">
        <v>2030</v>
      </c>
      <c r="J2" s="5">
        <v>2031</v>
      </c>
      <c r="K2" s="5">
        <v>2032</v>
      </c>
    </row>
    <row r="3" spans="1:11" x14ac:dyDescent="0.3">
      <c r="A3" s="7" t="s">
        <v>5</v>
      </c>
      <c r="B3" s="9">
        <v>4698.34</v>
      </c>
      <c r="C3" s="3"/>
      <c r="D3" s="8"/>
      <c r="E3" s="8"/>
      <c r="F3" s="8"/>
      <c r="G3" s="8"/>
      <c r="H3" s="8"/>
      <c r="I3" s="8"/>
      <c r="J3" s="8"/>
      <c r="K3" s="8"/>
    </row>
    <row r="4" spans="1:11" x14ac:dyDescent="0.3">
      <c r="A4" s="2" t="s">
        <v>6</v>
      </c>
      <c r="B4" s="8"/>
      <c r="C4" s="3"/>
      <c r="D4" s="8"/>
      <c r="E4" s="8"/>
      <c r="F4" s="8"/>
      <c r="G4" s="8"/>
      <c r="H4" s="8"/>
      <c r="I4" s="8"/>
      <c r="J4" s="8"/>
      <c r="K4" s="8"/>
    </row>
    <row r="5" spans="1:11" x14ac:dyDescent="0.3">
      <c r="A5" s="2" t="s">
        <v>7</v>
      </c>
      <c r="B5" s="10"/>
      <c r="C5" s="8"/>
      <c r="D5" s="8"/>
      <c r="E5" s="8"/>
      <c r="F5" s="8"/>
      <c r="G5" s="8"/>
      <c r="H5" s="8"/>
      <c r="I5" s="8"/>
      <c r="J5" s="8"/>
      <c r="K5" s="8"/>
    </row>
    <row r="6" spans="1:11" ht="15" thickBot="1" x14ac:dyDescent="0.35">
      <c r="A6" s="7" t="s">
        <v>8</v>
      </c>
      <c r="B6" s="46"/>
      <c r="C6" s="47"/>
      <c r="D6" s="46"/>
      <c r="E6" s="46"/>
      <c r="F6" s="46"/>
      <c r="G6" s="46"/>
      <c r="H6" s="46"/>
      <c r="I6" s="46"/>
      <c r="J6" s="46"/>
      <c r="K6" s="46"/>
    </row>
    <row r="7" spans="1:11" ht="15" thickBot="1" x14ac:dyDescent="0.35">
      <c r="A7" s="37" t="s">
        <v>41</v>
      </c>
      <c r="B7" s="48">
        <f>+B6+B5+B4-B3</f>
        <v>-4698.34</v>
      </c>
      <c r="C7" s="48">
        <f t="shared" ref="C7:K7" si="0">+C6+C5+C4-C3</f>
        <v>0</v>
      </c>
      <c r="D7" s="48">
        <f t="shared" si="0"/>
        <v>0</v>
      </c>
      <c r="E7" s="48">
        <f t="shared" si="0"/>
        <v>0</v>
      </c>
      <c r="F7" s="48">
        <f t="shared" si="0"/>
        <v>0</v>
      </c>
      <c r="G7" s="48">
        <f t="shared" si="0"/>
        <v>0</v>
      </c>
      <c r="H7" s="48">
        <f t="shared" si="0"/>
        <v>0</v>
      </c>
      <c r="I7" s="48">
        <f t="shared" si="0"/>
        <v>0</v>
      </c>
      <c r="J7" s="48">
        <f t="shared" si="0"/>
        <v>0</v>
      </c>
      <c r="K7" s="48">
        <f t="shared" si="0"/>
        <v>0</v>
      </c>
    </row>
    <row r="9" spans="1:11" x14ac:dyDescent="0.3">
      <c r="C9" s="15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38B2-DB7A-4177-8D9E-228E1C45B800}">
  <dimension ref="A1:L6"/>
  <sheetViews>
    <sheetView workbookViewId="0">
      <selection activeCell="A31" sqref="A31"/>
    </sheetView>
  </sheetViews>
  <sheetFormatPr baseColWidth="10" defaultRowHeight="14.4" x14ac:dyDescent="0.3"/>
  <cols>
    <col min="1" max="1" width="32.21875" bestFit="1" customWidth="1"/>
  </cols>
  <sheetData>
    <row r="1" spans="1:12" ht="15" thickBot="1" x14ac:dyDescent="0.35">
      <c r="A1" s="51" t="s">
        <v>24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x14ac:dyDescent="0.3">
      <c r="A2" s="1" t="s">
        <v>9</v>
      </c>
      <c r="B2" s="5" t="s">
        <v>4</v>
      </c>
      <c r="C2" s="14">
        <v>43941</v>
      </c>
      <c r="D2" s="5">
        <v>2021</v>
      </c>
      <c r="E2" s="6">
        <v>2022</v>
      </c>
      <c r="F2" s="5">
        <v>2023</v>
      </c>
      <c r="G2" s="6">
        <v>2024</v>
      </c>
      <c r="H2" s="5">
        <v>2025</v>
      </c>
      <c r="I2" s="6">
        <v>2026</v>
      </c>
      <c r="J2" s="5">
        <v>2027</v>
      </c>
      <c r="K2" s="6">
        <v>2028</v>
      </c>
      <c r="L2" s="14">
        <v>47227</v>
      </c>
    </row>
    <row r="3" spans="1:12" x14ac:dyDescent="0.3">
      <c r="A3" s="2" t="s">
        <v>10</v>
      </c>
      <c r="B3" s="8" t="s">
        <v>14</v>
      </c>
      <c r="C3" s="9"/>
      <c r="D3" s="3"/>
      <c r="E3" s="8"/>
      <c r="F3" s="8"/>
      <c r="G3" s="8"/>
      <c r="H3" s="8"/>
      <c r="I3" s="8"/>
      <c r="J3" s="8"/>
      <c r="K3" s="8"/>
      <c r="L3" s="8"/>
    </row>
    <row r="4" spans="1:12" x14ac:dyDescent="0.3">
      <c r="A4" s="2" t="s">
        <v>11</v>
      </c>
      <c r="B4" s="8" t="s">
        <v>14</v>
      </c>
      <c r="C4" s="8"/>
      <c r="D4" s="3"/>
      <c r="E4" s="8"/>
      <c r="F4" s="8"/>
      <c r="G4" s="8"/>
      <c r="H4" s="8"/>
      <c r="I4" s="8"/>
      <c r="J4" s="8"/>
      <c r="K4" s="8"/>
      <c r="L4" s="8"/>
    </row>
    <row r="5" spans="1:12" x14ac:dyDescent="0.3">
      <c r="A5" s="2" t="s">
        <v>12</v>
      </c>
      <c r="B5" s="8" t="s">
        <v>14</v>
      </c>
      <c r="C5" s="10"/>
      <c r="D5" s="13"/>
      <c r="E5" s="8"/>
      <c r="F5" s="8"/>
      <c r="G5" s="8"/>
      <c r="H5" s="8"/>
      <c r="I5" s="8"/>
      <c r="J5" s="8"/>
      <c r="K5" s="8"/>
      <c r="L5" s="8"/>
    </row>
    <row r="6" spans="1:12" ht="15" thickBot="1" x14ac:dyDescent="0.35">
      <c r="A6" s="4" t="s">
        <v>13</v>
      </c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BAIL</vt:lpstr>
      <vt:lpstr>CHARGES</vt:lpstr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CHARBEL</dc:creator>
  <cp:lastModifiedBy>Ichiaka KONE</cp:lastModifiedBy>
  <dcterms:created xsi:type="dcterms:W3CDTF">2019-06-13T13:19:30Z</dcterms:created>
  <dcterms:modified xsi:type="dcterms:W3CDTF">2026-01-27T09:53:51Z</dcterms:modified>
</cp:coreProperties>
</file>