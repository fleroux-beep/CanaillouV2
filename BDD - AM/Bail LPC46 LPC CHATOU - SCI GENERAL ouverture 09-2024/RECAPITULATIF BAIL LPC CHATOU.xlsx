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6 LPC CHATOU - SCI GENERAL ouverture 09-2024\"/>
    </mc:Choice>
  </mc:AlternateContent>
  <xr:revisionPtr revIDLastSave="0" documentId="13_ncr:1_{70DB0456-A96D-4BC6-B370-A95ACE6EF696}" xr6:coauthVersionLast="47" xr6:coauthVersionMax="47" xr10:uidLastSave="{00000000-0000-0000-0000-000000000000}"/>
  <bookViews>
    <workbookView xWindow="28680" yWindow="-120" windowWidth="29040" windowHeight="15720" xr2:uid="{2BC2E6E9-C79E-4F52-80EC-D2476AE53E0B}"/>
  </bookViews>
  <sheets>
    <sheet name="BAIL" sheetId="1" r:id="rId1"/>
    <sheet name="INFOS POUR 6660-REV" sheetId="4" r:id="rId2"/>
    <sheet name="CHARGES" sheetId="2" state="hidden" r:id="rId3"/>
    <sheet name="TAXES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D6" i="1"/>
  <c r="C10" i="1"/>
  <c r="B14" i="1"/>
  <c r="B8" i="1"/>
  <c r="H10" i="1"/>
  <c r="I10" i="1" s="1"/>
  <c r="J10" i="1" s="1"/>
  <c r="K10" i="1" s="1"/>
  <c r="F10" i="1" l="1"/>
  <c r="C9" i="1" l="1"/>
  <c r="C12" i="1" s="1"/>
  <c r="C8" i="1" l="1"/>
  <c r="B12" i="1"/>
  <c r="D9" i="1"/>
  <c r="E9" i="1" s="1"/>
  <c r="D8" i="1" l="1"/>
  <c r="E8" i="1" s="1"/>
  <c r="F8" i="1" s="1"/>
  <c r="G8" i="1" s="1"/>
  <c r="H8" i="1" s="1"/>
  <c r="I8" i="1" s="1"/>
  <c r="J8" i="1" s="1"/>
  <c r="K8" i="1" s="1"/>
  <c r="D12" i="1" l="1"/>
  <c r="F9" i="1" l="1"/>
  <c r="E12" i="1"/>
  <c r="G9" i="1" l="1"/>
  <c r="F12" i="1"/>
  <c r="H9" i="1" l="1"/>
  <c r="G12" i="1"/>
  <c r="I9" i="1" l="1"/>
  <c r="H12" i="1"/>
  <c r="J9" i="1" l="1"/>
  <c r="I12" i="1"/>
  <c r="K9" i="1" l="1"/>
  <c r="J12" i="1"/>
  <c r="K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</authors>
  <commentList>
    <comment ref="B9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<sst xmlns="http://schemas.openxmlformats.org/spreadsheetml/2006/main" count="63" uniqueCount="56">
  <si>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</si>
  <si>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</si>
  <si>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</si>
  <si>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</si>
  <si>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</si>
  <si>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</si>
  <si>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</si>
  <si>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</si>
  <si>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</si>
  <si>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</si>
  <si>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</si>
  <si>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</si>
  <si>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</si>
  <si>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</si>
  <si>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</si>
  <si>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</si>
  <si>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</si>
  <si>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</si>
  <si>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</si>
  <si>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</si>
  <si>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</si>
  <si>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INDICE (INDEXATION DU LOYER) ILC 3T</t>
  </si>
  <si>
    <t>charges 12 mois</t>
  </si>
  <si>
    <t>LPC 47 NICE</t>
  </si>
  <si>
    <t>OCCUPANT</t>
  </si>
  <si>
    <t>ADRESSE BIEN</t>
  </si>
  <si>
    <t>PROPRIETAIRE</t>
  </si>
  <si>
    <t>NOM</t>
  </si>
  <si>
    <t xml:space="preserve">ADRESSE </t>
  </si>
  <si>
    <t>CODE POSTALE</t>
  </si>
  <si>
    <t>VILLE</t>
  </si>
  <si>
    <t xml:space="preserve">DATE D'ACQUISITION </t>
  </si>
  <si>
    <t>AFFECTATION LOCAUX AVANT OUVERTURE CRECHE</t>
  </si>
  <si>
    <t>PLAN</t>
  </si>
  <si>
    <t>SURFACE LOCATIVE EXTERIEURE</t>
  </si>
  <si>
    <t>DATE OUVERTURE CRECHE</t>
  </si>
  <si>
    <t>DAACT (dossier mise à dispo)</t>
  </si>
  <si>
    <t>DOSSIER PC (dossier mise à dispo)</t>
  </si>
  <si>
    <t>SCI GENERAL JULES BRIMONT</t>
  </si>
  <si>
    <t xml:space="preserve">32 RUE PIERRET </t>
  </si>
  <si>
    <t>NEUILLY-SUR-SEINE</t>
  </si>
  <si>
    <t>9 ans</t>
  </si>
  <si>
    <t>cabinet médical</t>
  </si>
  <si>
    <t>LPC YVELINES - LPC CHATOU</t>
  </si>
  <si>
    <t xml:space="preserve">FRANCHISE </t>
  </si>
  <si>
    <t>12 mois</t>
  </si>
  <si>
    <t>01/09/2023-31/08/2024</t>
  </si>
  <si>
    <t>01/09/2024-31/08/2025</t>
  </si>
  <si>
    <t>01/09/2025-31/08/2026</t>
  </si>
  <si>
    <t>01/09/2026-31/08/2027</t>
  </si>
  <si>
    <t>01/09/2027-31/08/2028</t>
  </si>
  <si>
    <t>01/09/2028-31/08/2029</t>
  </si>
  <si>
    <t>01/09/2029-31/08/2030</t>
  </si>
  <si>
    <t>01/09/2030-31/08/2031</t>
  </si>
  <si>
    <t>01/09/2031-31/08/2032</t>
  </si>
  <si>
    <t>LPC CHATOU - 32 Avenue de Brimont 78400 Chatou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</si>
</sst>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6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25" xfId="2" applyFont="1" applyBorder="1"/>
    <xf numFmtId="44" fontId="0" fillId="0" borderId="26" xfId="2" applyFont="1" applyBorder="1"/>
    <xf numFmtId="0" fontId="2" fillId="2" borderId="28" xfId="0" applyFont="1" applyFill="1" applyBorder="1"/>
    <xf numFmtId="0" fontId="0" fillId="4" borderId="20" xfId="0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center" vertical="center"/>
    </xf>
    <xf numFmtId="6" fontId="0" fillId="4" borderId="12" xfId="0" applyNumberFormat="1" applyFill="1" applyBorder="1"/>
    <xf numFmtId="14" fontId="5" fillId="5" borderId="8" xfId="0" applyNumberFormat="1" applyFont="1" applyFill="1" applyBorder="1" applyAlignment="1">
      <alignment horizontal="center" vertical="center"/>
    </xf>
    <xf numFmtId="14" fontId="0" fillId="5" borderId="21" xfId="0" applyNumberFormat="1" applyFill="1" applyBorder="1" applyAlignment="1">
      <alignment horizontal="center" vertical="center" wrapText="1"/>
    </xf>
    <xf numFmtId="164" fontId="0" fillId="5" borderId="21" xfId="0" applyNumberFormat="1" applyFill="1" applyBorder="1" applyAlignment="1">
      <alignment horizontal="center" vertical="center"/>
    </xf>
    <xf numFmtId="0" fontId="0" fillId="0" borderId="29" xfId="0" applyBorder="1"/>
    <xf numFmtId="0" fontId="0" fillId="0" borderId="12" xfId="0" applyBorder="1" applyAlignment="1">
      <alignment horizontal="center"/>
    </xf>
    <xf numFmtId="0" fontId="0" fillId="0" borderId="28" xfId="0" applyBorder="1"/>
    <xf numFmtId="0" fontId="0" fillId="0" borderId="31" xfId="0" applyBorder="1"/>
    <xf numFmtId="0" fontId="0" fillId="0" borderId="14" xfId="0" applyBorder="1" applyAlignment="1">
      <alignment horizontal="center"/>
    </xf>
    <xf numFmtId="0" fontId="0" fillId="0" borderId="32" xfId="0" applyBorder="1"/>
    <xf numFmtId="0" fontId="0" fillId="0" borderId="4" xfId="0" applyBorder="1" applyAlignment="1">
      <alignment horizontal="center"/>
    </xf>
    <xf numFmtId="0" fontId="0" fillId="0" borderId="33" xfId="0" applyBorder="1"/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34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164" fontId="0" fillId="0" borderId="0" xfId="0" applyNumberFormat="1"/>
    <xf numFmtId="4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 textRotation="90" readingOrder="1"/>
    </xf>
    <xf numFmtId="0" fontId="1" fillId="0" borderId="9" xfId="0" applyFont="1" applyBorder="1" applyAlignment="1">
      <alignment horizontal="center" vertical="center" textRotation="90" readingOrder="1"/>
    </xf>
    <xf numFmtId="0" fontId="1" fillId="0" borderId="15" xfId="0" applyFont="1" applyBorder="1" applyAlignment="1">
      <alignment horizontal="center" vertical="center" textRotation="90" readingOrder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05-19T14:55:59.10" personId="{5ECAD981-D878-4860-B22D-252DBD34D6CE}" id="{608A678D-F669-49FB-912A-0E0E3E903D45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K21"/>
  <sheetViews>
    <sheetView showGridLines="0" tabSelected="1" workbookViewId="0">
      <selection activeCell="E11" sqref="E11"/>
    </sheetView>
  </sheetViews>
  <sheetFormatPr baseColWidth="10" defaultRowHeight="14.4" x14ac:dyDescent="0.3"/>
  <cols>
    <col min="1" max="1" width="34.77734375" bestFit="1" customWidth="1"/>
    <col min="2" max="2" width="25.44140625" bestFit="1" customWidth="1"/>
    <col min="3" max="3" width="20.77734375" customWidth="1"/>
    <col min="4" max="12" width="20.44140625" customWidth="1"/>
    <col min="13" max="13" width="15.6640625" customWidth="1"/>
  </cols>
  <sheetData>
    <row r="1" spans="1:11" ht="15" thickBot="1" x14ac:dyDescent="0.35">
      <c r="A1" s="59" t="s">
        <v>55</v>
      </c>
      <c r="B1" s="60"/>
    </row>
    <row r="2" spans="1:11" x14ac:dyDescent="0.3">
      <c r="A2" s="1" t="s">
        <v>0</v>
      </c>
      <c r="B2" s="25" t="s">
        <v>38</v>
      </c>
    </row>
    <row r="3" spans="1:11" x14ac:dyDescent="0.3">
      <c r="A3" s="17" t="s">
        <v>17</v>
      </c>
      <c r="B3" s="35">
        <v>240</v>
      </c>
    </row>
    <row r="4" spans="1:11" x14ac:dyDescent="0.3">
      <c r="A4" s="2" t="s">
        <v>1</v>
      </c>
      <c r="B4" s="36">
        <v>45170</v>
      </c>
    </row>
    <row r="5" spans="1:11" x14ac:dyDescent="0.3">
      <c r="A5" s="2" t="s">
        <v>18</v>
      </c>
      <c r="B5" s="39">
        <v>45170</v>
      </c>
      <c r="D5" s="57">
        <f>+D8-C8</f>
        <v>962.8535903015254</v>
      </c>
    </row>
    <row r="6" spans="1:11" ht="15" thickBot="1" x14ac:dyDescent="0.35">
      <c r="A6" s="2" t="s">
        <v>44</v>
      </c>
      <c r="B6" s="39" t="s">
        <v>45</v>
      </c>
      <c r="D6" s="57">
        <f>+D8/3+C8/3*2</f>
        <v>21320.951196767175</v>
      </c>
    </row>
    <row r="7" spans="1:11" s="19" customFormat="1" ht="29.4" thickBot="1" x14ac:dyDescent="0.35">
      <c r="A7" s="20" t="s">
        <v>2</v>
      </c>
      <c r="B7" s="40" t="s">
        <v>41</v>
      </c>
      <c r="C7" s="29" t="s">
        <v>46</v>
      </c>
      <c r="D7" s="29" t="s">
        <v>47</v>
      </c>
      <c r="E7" s="29" t="s">
        <v>48</v>
      </c>
      <c r="F7" s="29" t="s">
        <v>49</v>
      </c>
      <c r="G7" s="29" t="s">
        <v>50</v>
      </c>
      <c r="H7" s="29" t="s">
        <v>51</v>
      </c>
      <c r="I7" s="29" t="s">
        <v>52</v>
      </c>
      <c r="J7" s="29" t="s">
        <v>53</v>
      </c>
      <c r="K7" s="29" t="s">
        <v>54</v>
      </c>
    </row>
    <row r="8" spans="1:11" x14ac:dyDescent="0.3">
      <c r="A8" s="2" t="s">
        <v>19</v>
      </c>
      <c r="B8" s="37">
        <f>+B9/4</f>
        <v>21000</v>
      </c>
      <c r="C8" s="27">
        <f>+B8</f>
        <v>21000</v>
      </c>
      <c r="D8" s="28">
        <f>+C8*D10/C10</f>
        <v>21962.853590301525</v>
      </c>
      <c r="E8" s="28">
        <f t="shared" ref="E8:K8" si="0">+D8*E10/D10</f>
        <v>22173.375815977619</v>
      </c>
      <c r="F8" s="28">
        <f t="shared" si="0"/>
        <v>22173.375815977619</v>
      </c>
      <c r="G8" s="28">
        <f t="shared" si="0"/>
        <v>163.19552377991917</v>
      </c>
      <c r="H8" s="28">
        <f t="shared" si="0"/>
        <v>163.19552377991917</v>
      </c>
      <c r="I8" s="28">
        <f t="shared" si="0"/>
        <v>163.19552377991917</v>
      </c>
      <c r="J8" s="28">
        <f t="shared" si="0"/>
        <v>163.19552377991917</v>
      </c>
      <c r="K8" s="28">
        <f t="shared" si="0"/>
        <v>163.19552377991917</v>
      </c>
    </row>
    <row r="9" spans="1:11" x14ac:dyDescent="0.3">
      <c r="A9" s="2" t="s">
        <v>15</v>
      </c>
      <c r="B9" s="41">
        <v>84000</v>
      </c>
      <c r="C9" s="23">
        <f>+B9-C11</f>
        <v>84000</v>
      </c>
      <c r="D9" s="22">
        <f>+C9*D10/C10-D11</f>
        <v>87851.414361206102</v>
      </c>
      <c r="E9" s="22">
        <f>+D9*E10/D10-E11</f>
        <v>88693.503263910476</v>
      </c>
      <c r="F9" s="22">
        <f t="shared" ref="F9:K9" si="1">+E9*F10/E10</f>
        <v>88693.503263910476</v>
      </c>
      <c r="G9" s="22">
        <f t="shared" si="1"/>
        <v>652.78209511967668</v>
      </c>
      <c r="H9" s="22">
        <f t="shared" si="1"/>
        <v>652.78209511967668</v>
      </c>
      <c r="I9" s="22">
        <f t="shared" si="1"/>
        <v>652.78209511967668</v>
      </c>
      <c r="J9" s="22">
        <f t="shared" si="1"/>
        <v>652.78209511967668</v>
      </c>
      <c r="K9" s="22">
        <f t="shared" si="1"/>
        <v>652.78209511967668</v>
      </c>
    </row>
    <row r="10" spans="1:11" ht="15" thickBot="1" x14ac:dyDescent="0.35">
      <c r="A10" s="7" t="s">
        <v>21</v>
      </c>
      <c r="B10" s="26">
        <v>128.68</v>
      </c>
      <c r="C10" s="30">
        <f>+B10</f>
        <v>128.68</v>
      </c>
      <c r="D10" s="31">
        <v>134.58000000000001</v>
      </c>
      <c r="E10" s="31">
        <v>135.87</v>
      </c>
      <c r="F10" s="31">
        <f t="shared" ref="F10" si="2">+E10</f>
        <v>135.87</v>
      </c>
      <c r="G10" s="31">
        <v>1</v>
      </c>
      <c r="H10" s="31">
        <f t="shared" ref="H10" si="3">+G10</f>
        <v>1</v>
      </c>
      <c r="I10" s="31">
        <f t="shared" ref="I10" si="4">+H10</f>
        <v>1</v>
      </c>
      <c r="J10" s="31">
        <f t="shared" ref="J10" si="5">+I10</f>
        <v>1</v>
      </c>
      <c r="K10" s="31">
        <f t="shared" ref="K10" si="6">+J10</f>
        <v>1</v>
      </c>
    </row>
    <row r="11" spans="1:11" ht="15" thickBot="1" x14ac:dyDescent="0.35">
      <c r="A11" s="2" t="s">
        <v>20</v>
      </c>
      <c r="B11" s="24"/>
      <c r="C11" s="32">
        <v>0</v>
      </c>
      <c r="D11" s="33">
        <v>0</v>
      </c>
      <c r="E11" s="33">
        <v>0</v>
      </c>
      <c r="F11" s="33">
        <v>0</v>
      </c>
      <c r="G11" s="33"/>
      <c r="H11" s="33"/>
      <c r="I11" s="33"/>
      <c r="J11" s="33"/>
      <c r="K11" s="33"/>
    </row>
    <row r="12" spans="1:11" ht="15" thickBot="1" x14ac:dyDescent="0.35">
      <c r="A12" s="18" t="s">
        <v>16</v>
      </c>
      <c r="B12" s="16">
        <f>+B9/4</f>
        <v>21000</v>
      </c>
      <c r="C12" s="21">
        <f>+C9/4</f>
        <v>21000</v>
      </c>
      <c r="D12" s="21">
        <f t="shared" ref="D12:K12" si="7">+D9/4</f>
        <v>21962.853590301525</v>
      </c>
      <c r="E12" s="21">
        <f t="shared" si="7"/>
        <v>22173.375815977619</v>
      </c>
      <c r="F12" s="21">
        <f t="shared" si="7"/>
        <v>22173.375815977619</v>
      </c>
      <c r="G12" s="21">
        <f t="shared" si="7"/>
        <v>163.19552377991917</v>
      </c>
      <c r="H12" s="21">
        <f t="shared" si="7"/>
        <v>163.19552377991917</v>
      </c>
      <c r="I12" s="21">
        <f t="shared" si="7"/>
        <v>163.19552377991917</v>
      </c>
      <c r="J12" s="21">
        <f t="shared" si="7"/>
        <v>163.19552377991917</v>
      </c>
      <c r="K12" s="21">
        <f t="shared" si="7"/>
        <v>163.19552377991917</v>
      </c>
    </row>
    <row r="13" spans="1:11" ht="15" thickBot="1" x14ac:dyDescent="0.35">
      <c r="C13" s="57"/>
      <c r="D13" s="57"/>
    </row>
    <row r="14" spans="1:11" ht="15" thickBot="1" x14ac:dyDescent="0.35">
      <c r="A14" s="34" t="s">
        <v>22</v>
      </c>
      <c r="B14" s="38">
        <f>+B9*0.1</f>
        <v>8400</v>
      </c>
    </row>
    <row r="15" spans="1:11" x14ac:dyDescent="0.3">
      <c r="D15" s="58"/>
    </row>
    <row r="17" spans="3:6" x14ac:dyDescent="0.3">
      <c r="C17" s="55"/>
      <c r="D17" s="55"/>
      <c r="E17" s="56"/>
      <c r="F17" s="57"/>
    </row>
    <row r="18" spans="3:6" x14ac:dyDescent="0.3">
      <c r="C18" s="55"/>
      <c r="D18" s="55"/>
      <c r="E18" s="56"/>
    </row>
    <row r="20" spans="3:6" x14ac:dyDescent="0.3">
      <c r="C20" s="55"/>
      <c r="D20" s="55"/>
      <c r="E20" s="56"/>
      <c r="F20" s="57"/>
    </row>
    <row r="21" spans="3:6" x14ac:dyDescent="0.3">
      <c r="C21" s="55"/>
      <c r="D21" s="55"/>
      <c r="E21" s="56"/>
    </row>
  </sheetData>
  <mergeCells count="1">
    <mergeCell ref="A1:B1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F4C-2C74-4FA9-A3EE-7CD14B3A6A87}">
  <dimension ref="B2:D15"/>
  <sheetViews>
    <sheetView workbookViewId="0">
      <selection activeCell="D3" sqref="D3"/>
    </sheetView>
  </sheetViews>
  <sheetFormatPr baseColWidth="10" defaultRowHeight="14.4" x14ac:dyDescent="0.3"/>
  <cols>
    <col min="2" max="2" width="4.77734375" bestFit="1" customWidth="1"/>
    <col min="3" max="3" width="29.77734375" bestFit="1" customWidth="1"/>
    <col min="4" max="4" width="51.77734375" bestFit="1" customWidth="1"/>
  </cols>
  <sheetData>
    <row r="2" spans="2:4" ht="15" thickBot="1" x14ac:dyDescent="0.35"/>
    <row r="3" spans="2:4" ht="15" thickBot="1" x14ac:dyDescent="0.35">
      <c r="C3" s="42" t="s">
        <v>24</v>
      </c>
      <c r="D3" s="43" t="s">
        <v>43</v>
      </c>
    </row>
    <row r="4" spans="2:4" ht="15" thickBot="1" x14ac:dyDescent="0.35">
      <c r="C4" s="44" t="s">
        <v>25</v>
      </c>
      <c r="D4" s="43"/>
    </row>
    <row r="5" spans="2:4" x14ac:dyDescent="0.3">
      <c r="B5" s="61" t="s">
        <v>26</v>
      </c>
      <c r="C5" s="45" t="s">
        <v>27</v>
      </c>
      <c r="D5" s="46" t="s">
        <v>38</v>
      </c>
    </row>
    <row r="6" spans="2:4" x14ac:dyDescent="0.3">
      <c r="B6" s="62"/>
      <c r="C6" s="47" t="s">
        <v>28</v>
      </c>
      <c r="D6" s="48" t="s">
        <v>39</v>
      </c>
    </row>
    <row r="7" spans="2:4" x14ac:dyDescent="0.3">
      <c r="B7" s="62"/>
      <c r="C7" s="47" t="s">
        <v>29</v>
      </c>
      <c r="D7" s="48">
        <v>92200</v>
      </c>
    </row>
    <row r="8" spans="2:4" x14ac:dyDescent="0.3">
      <c r="B8" s="62"/>
      <c r="C8" s="47" t="s">
        <v>30</v>
      </c>
      <c r="D8" s="48" t="s">
        <v>40</v>
      </c>
    </row>
    <row r="9" spans="2:4" ht="15" thickBot="1" x14ac:dyDescent="0.35">
      <c r="B9" s="63"/>
      <c r="C9" s="49" t="s">
        <v>31</v>
      </c>
      <c r="D9" s="50">
        <v>45128</v>
      </c>
    </row>
    <row r="10" spans="2:4" ht="38.549999999999997" customHeight="1" thickBot="1" x14ac:dyDescent="0.35">
      <c r="C10" s="51" t="s">
        <v>32</v>
      </c>
      <c r="D10" s="43" t="s">
        <v>42</v>
      </c>
    </row>
    <row r="11" spans="2:4" ht="15" thickBot="1" x14ac:dyDescent="0.35">
      <c r="C11" s="52" t="s">
        <v>33</v>
      </c>
      <c r="D11" s="53"/>
    </row>
    <row r="12" spans="2:4" ht="15" thickBot="1" x14ac:dyDescent="0.35">
      <c r="C12" s="52" t="s">
        <v>34</v>
      </c>
      <c r="D12" s="53"/>
    </row>
    <row r="13" spans="2:4" ht="15" thickBot="1" x14ac:dyDescent="0.35">
      <c r="C13" s="52" t="s">
        <v>35</v>
      </c>
      <c r="D13" s="54">
        <v>45537</v>
      </c>
    </row>
    <row r="14" spans="2:4" ht="15" thickBot="1" x14ac:dyDescent="0.35">
      <c r="C14" s="52" t="s">
        <v>36</v>
      </c>
      <c r="D14" s="53"/>
    </row>
    <row r="15" spans="2:4" ht="15" thickBot="1" x14ac:dyDescent="0.35">
      <c r="C15" s="52" t="s">
        <v>37</v>
      </c>
      <c r="D15" s="43"/>
    </row>
  </sheetData>
  <mergeCells count="1">
    <mergeCell ref="B5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workbookViewId="0">
      <selection sqref="A1:B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64" t="s">
        <v>23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x14ac:dyDescent="0.3">
      <c r="A2" s="1" t="s">
        <v>3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7" t="s">
        <v>5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6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7</v>
      </c>
      <c r="B5" s="8"/>
      <c r="C5" s="10"/>
      <c r="D5" s="8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8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  <row r="9" spans="1:12" x14ac:dyDescent="0.3">
      <c r="D9" s="15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sqref="A1:B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64" t="s">
        <v>23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INFOS POUR 6660-REV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2025-07-02T08:54:20Z</dcterms:modified>
</cp:coreProperties>
</file>