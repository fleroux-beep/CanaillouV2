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6 LPC CHATOU - SCI GENERAL ouverture 09-2024\Baux cabinets medicaux\PODOLOGUE - Timothée Denant\Quittances+échéances\REGUL CHARGES\2023\"/>
    </mc:Choice>
  </mc:AlternateContent>
  <xr:revisionPtr revIDLastSave="0" documentId="13_ncr:1_{826BA1EB-2BB5-4481-940B-1E9F6E843A50}" xr6:coauthVersionLast="47" xr6:coauthVersionMax="47" xr10:uidLastSave="{00000000-0000-0000-0000-000000000000}"/>
  <bookViews>
    <workbookView xWindow="28680" yWindow="-120" windowWidth="29040" windowHeight="15720" xr2:uid="{1167576D-7A29-4202-A18D-02FF8D93DAEB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8" i="2"/>
  <c r="F8" i="2" s="1"/>
  <c r="F13" i="2"/>
  <c r="F14" i="2"/>
  <c r="F7" i="2"/>
  <c r="F15" i="2" l="1"/>
  <c r="F19" i="2" s="1"/>
</calcChain>
</file>

<file path=xl/sharedStrings.xml><?xml version="1.0" encoding="utf-8"?>
<sst xmlns="http://schemas.openxmlformats.org/spreadsheetml/2006/main" count="17" uniqueCount="16">
  <si>
    <t>MONTANT</t>
  </si>
  <si>
    <t>BASE LOT</t>
  </si>
  <si>
    <t>BASE IMM,</t>
  </si>
  <si>
    <t>TOTAL</t>
  </si>
  <si>
    <t>CHARGES OTIS</t>
  </si>
  <si>
    <t>PROVISION SUR CHARGES</t>
  </si>
  <si>
    <t>SOLDES</t>
  </si>
  <si>
    <t>REGULARISATION CHARGES DU 21/07/2023 AU 31/12/2023</t>
  </si>
  <si>
    <t xml:space="preserve">CHARGES </t>
  </si>
  <si>
    <t xml:space="preserve">CHARGES VINCI </t>
  </si>
  <si>
    <t>1tr</t>
  </si>
  <si>
    <t>2tr</t>
  </si>
  <si>
    <t>3tr</t>
  </si>
  <si>
    <t>4tr</t>
  </si>
  <si>
    <t xml:space="preserve">CHARGE MENAGE </t>
  </si>
  <si>
    <t xml:space="preserve">TAXE FONCIERES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</si>
</sst>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43" fontId="2" fillId="0" borderId="1" xfId="1" applyFont="1" applyBorder="1"/>
    <xf numFmtId="43" fontId="1" fillId="0" borderId="1" xfId="1" applyFont="1" applyBorder="1"/>
    <xf numFmtId="43" fontId="4" fillId="2" borderId="1" xfId="1" applyFont="1" applyFill="1" applyBorder="1"/>
    <xf numFmtId="0" fontId="1" fillId="0" borderId="2" xfId="0" applyFont="1" applyBorder="1"/>
    <xf numFmtId="43" fontId="1" fillId="0" borderId="3" xfId="1" applyFont="1" applyFill="1" applyBorder="1"/>
    <xf numFmtId="43" fontId="1" fillId="0" borderId="4" xfId="1" applyFont="1" applyFill="1" applyBorder="1"/>
    <xf numFmtId="0" fontId="1" fillId="0" borderId="5" xfId="0" applyFont="1" applyBorder="1"/>
    <xf numFmtId="43" fontId="1" fillId="0" borderId="6" xfId="1" applyFont="1" applyFill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1" fillId="0" borderId="1" xfId="0" applyNumberFormat="1" applyFon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B393-7AB7-486C-806F-36073048B606}">
  <sheetPr>
    <pageSetUpPr fitToPage="1"/>
  </sheetPr>
  <dimension ref="B2:F19"/>
  <sheetViews>
    <sheetView tabSelected="1" zoomScaleNormal="100" workbookViewId="0">
      <selection activeCell="B10" sqref="B10"/>
    </sheetView>
  </sheetViews>
  <sheetFormatPr baseColWidth="10" defaultRowHeight="14.4" x14ac:dyDescent="0.3"/>
  <cols>
    <col min="2" max="2" width="73.109375" bestFit="1" customWidth="1"/>
  </cols>
  <sheetData>
    <row r="2" spans="2:6" ht="15" thickBot="1" x14ac:dyDescent="0.35"/>
    <row r="3" spans="2:6" ht="15" thickBot="1" x14ac:dyDescent="0.35">
      <c r="B3" s="13" t="s">
        <v>7</v>
      </c>
      <c r="C3" s="14"/>
      <c r="D3" s="14"/>
      <c r="E3" s="14"/>
      <c r="F3" s="15"/>
    </row>
    <row r="5" spans="2:6" x14ac:dyDescent="0.3">
      <c r="B5" s="2" t="s">
        <v>8</v>
      </c>
      <c r="C5" s="2" t="s">
        <v>0</v>
      </c>
      <c r="D5" s="2" t="s">
        <v>1</v>
      </c>
      <c r="E5" s="2" t="s">
        <v>2</v>
      </c>
      <c r="F5" s="2" t="s">
        <v>3</v>
      </c>
    </row>
    <row r="6" spans="2:6" x14ac:dyDescent="0.3">
      <c r="B6" s="2"/>
      <c r="C6" s="2"/>
      <c r="D6" s="2"/>
      <c r="E6" s="2"/>
      <c r="F6" s="2"/>
    </row>
    <row r="7" spans="2:6" x14ac:dyDescent="0.3">
      <c r="B7" s="2" t="s">
        <v>9</v>
      </c>
      <c r="C7" s="3">
        <v>5112.6000000000004</v>
      </c>
      <c r="D7" s="2">
        <v>123</v>
      </c>
      <c r="E7" s="2">
        <v>10000</v>
      </c>
      <c r="F7" s="4">
        <f>+C7/E7*D7</f>
        <v>62.884980000000006</v>
      </c>
    </row>
    <row r="8" spans="2:6" x14ac:dyDescent="0.3">
      <c r="B8" s="2" t="s">
        <v>4</v>
      </c>
      <c r="C8" s="3">
        <f>SUM(C9:C12)</f>
        <v>1602.1</v>
      </c>
      <c r="D8" s="2">
        <v>123</v>
      </c>
      <c r="E8" s="2">
        <v>1000</v>
      </c>
      <c r="F8" s="4">
        <f>+C8/E8*D8</f>
        <v>197.05829999999997</v>
      </c>
    </row>
    <row r="9" spans="2:6" x14ac:dyDescent="0.3">
      <c r="B9" s="11" t="s">
        <v>10</v>
      </c>
      <c r="C9" s="12"/>
      <c r="D9" s="6"/>
      <c r="E9" s="6"/>
      <c r="F9" s="7"/>
    </row>
    <row r="10" spans="2:6" x14ac:dyDescent="0.3">
      <c r="B10" s="11" t="s">
        <v>11</v>
      </c>
      <c r="C10" s="12"/>
      <c r="D10" s="1"/>
      <c r="E10" s="1"/>
      <c r="F10" s="8"/>
    </row>
    <row r="11" spans="2:6" x14ac:dyDescent="0.3">
      <c r="B11" s="11" t="s">
        <v>12</v>
      </c>
      <c r="C11" s="12">
        <v>801.05</v>
      </c>
      <c r="D11" s="1"/>
      <c r="E11" s="1"/>
      <c r="F11" s="8"/>
    </row>
    <row r="12" spans="2:6" x14ac:dyDescent="0.3">
      <c r="B12" s="11" t="s">
        <v>13</v>
      </c>
      <c r="C12" s="12">
        <v>801.05</v>
      </c>
      <c r="D12" s="9"/>
      <c r="E12" s="9"/>
      <c r="F12" s="10"/>
    </row>
    <row r="13" spans="2:6" x14ac:dyDescent="0.3">
      <c r="B13" s="2" t="s">
        <v>14</v>
      </c>
      <c r="C13" s="2">
        <v>0</v>
      </c>
      <c r="D13" s="2">
        <v>123</v>
      </c>
      <c r="E13" s="2">
        <v>1000</v>
      </c>
      <c r="F13" s="4">
        <f>+C13/E13*D13</f>
        <v>0</v>
      </c>
    </row>
    <row r="14" spans="2:6" x14ac:dyDescent="0.3">
      <c r="B14" s="2" t="s">
        <v>15</v>
      </c>
      <c r="C14" s="3">
        <v>4684.28</v>
      </c>
      <c r="D14" s="2">
        <v>123</v>
      </c>
      <c r="E14" s="2">
        <v>1000</v>
      </c>
      <c r="F14" s="4">
        <f>+C14/E14*D14</f>
        <v>576.16643999999997</v>
      </c>
    </row>
    <row r="15" spans="2:6" x14ac:dyDescent="0.3">
      <c r="B15" s="2" t="s">
        <v>3</v>
      </c>
      <c r="C15" s="16">
        <f>+C14+C13+C8+C7</f>
        <v>11398.98</v>
      </c>
      <c r="D15" s="2"/>
      <c r="E15" s="2"/>
      <c r="F15" s="3">
        <f>SUM(F7:F14)</f>
        <v>836.10971999999992</v>
      </c>
    </row>
    <row r="16" spans="2:6" x14ac:dyDescent="0.3">
      <c r="B16" s="2"/>
      <c r="C16" s="2"/>
      <c r="D16" s="2"/>
      <c r="E16" s="2"/>
      <c r="F16" s="2"/>
    </row>
    <row r="17" spans="2:6" x14ac:dyDescent="0.3">
      <c r="B17" s="2" t="s">
        <v>5</v>
      </c>
      <c r="C17" s="2"/>
      <c r="D17" s="2"/>
      <c r="E17" s="2"/>
      <c r="F17" s="4">
        <v>-1450</v>
      </c>
    </row>
    <row r="18" spans="2:6" x14ac:dyDescent="0.3">
      <c r="B18" s="2"/>
      <c r="C18" s="2"/>
      <c r="D18" s="2"/>
      <c r="E18" s="2"/>
      <c r="F18" s="2"/>
    </row>
    <row r="19" spans="2:6" x14ac:dyDescent="0.3">
      <c r="B19" s="2" t="s">
        <v>6</v>
      </c>
      <c r="C19" s="2"/>
      <c r="D19" s="2"/>
      <c r="E19" s="2"/>
      <c r="F19" s="5">
        <f>+F15+F17</f>
        <v>-613.89028000000008</v>
      </c>
    </row>
  </sheetData>
  <mergeCells count="1">
    <mergeCell ref="B3:F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Ichiaka KONE</dc:creator>
  <cp:lastModifiedBy>Ichiaka KONE</cp:lastModifiedBy>
  <cp:lastPrinted>2025-11-03T11:28:22Z</cp:lastPrinted>
  <dcterms:created xsi:type="dcterms:W3CDTF">2024-07-09T14:07:07Z</dcterms:created>
  <dcterms:modified xsi:type="dcterms:W3CDTF">2025-11-03T11:28:25Z</dcterms:modified>
</cp:coreProperties>
</file>