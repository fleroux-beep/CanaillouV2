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46 LPC CHATOU - SCI GENERAL ouverture 09-2024\Baux cabinets medicaux\PODOLOGUE - Timothée Denant\Quittances+échéances\"/>
    </mc:Choice>
  </mc:AlternateContent>
  <xr:revisionPtr revIDLastSave="0" documentId="8_{FB6DD914-71B3-4C63-BA52-631B17AC576D}" xr6:coauthVersionLast="47" xr6:coauthVersionMax="47" xr10:uidLastSave="{00000000-0000-0000-0000-000000000000}"/>
  <bookViews>
    <workbookView xWindow="28680" yWindow="-120" windowWidth="29040" windowHeight="15720" xr2:uid="{FBD4CC86-5983-4735-A8A1-CF0FE431BF5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D14" i="1" l="1"/>
  <c r="C14" i="1"/>
  <c r="C20" i="1" s="1"/>
  <c r="D20" i="1" s="1"/>
  <c r="D13" i="1"/>
  <c r="C13" i="1"/>
  <c r="B12" i="1"/>
  <c r="D12" i="1" s="1"/>
  <c r="D6" i="1"/>
  <c r="C6" i="1"/>
  <c r="C12" i="1" l="1"/>
  <c r="C19" i="1" s="1"/>
  <c r="C21" i="1" l="1"/>
  <c r="D21" i="1" s="1"/>
  <c r="D19" i="1"/>
</calcChain>
</file>

<file path=xl/sharedStrings.xml><?xml version="1.0" encoding="utf-8"?>
<sst xmlns="http://schemas.openxmlformats.org/spreadsheetml/2006/main" count="21" uniqueCount="20">
  <si>
    <t>CHATOU - 32 AV DE BRIMONT - 78400</t>
  </si>
  <si>
    <t>M. DENANT (Podologue)</t>
  </si>
  <si>
    <t>LPC YVELINES</t>
  </si>
  <si>
    <t>m² selon baux</t>
  </si>
  <si>
    <t>26m² avant</t>
  </si>
  <si>
    <t>33m² après</t>
  </si>
  <si>
    <t>258,70m² (hors jardin)</t>
  </si>
  <si>
    <t>Selon base lot M. Denant 12/1000</t>
  </si>
  <si>
    <t>Total</t>
  </si>
  <si>
    <t>QP Denant</t>
  </si>
  <si>
    <t>QP LPC</t>
  </si>
  <si>
    <t xml:space="preserve">COPRO 24 </t>
  </si>
  <si>
    <t>Ascensur Otis</t>
  </si>
  <si>
    <t>TF</t>
  </si>
  <si>
    <t>ECART</t>
  </si>
  <si>
    <t>COPRO 24 + ascenseur</t>
  </si>
  <si>
    <t>PROVISION 2024</t>
  </si>
  <si>
    <t>CHARGES REEL 2024</t>
  </si>
  <si>
    <t>TOTAL</t>
  </si>
  <si>
    <t>REGULARISATION CHARGES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</si>
</sst>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3" fillId="0" borderId="1" xfId="2" applyFont="1" applyBorder="1"/>
    <xf numFmtId="0" fontId="4" fillId="0" borderId="2" xfId="2" applyFont="1" applyBorder="1"/>
    <xf numFmtId="0" fontId="2" fillId="0" borderId="3" xfId="2" applyFont="1" applyBorder="1" applyAlignment="1">
      <alignment horizontal="center"/>
    </xf>
    <xf numFmtId="0" fontId="2" fillId="0" borderId="4" xfId="2" applyFont="1" applyBorder="1" applyAlignment="1">
      <alignment horizontal="center"/>
    </xf>
    <xf numFmtId="0" fontId="1" fillId="0" borderId="5" xfId="2" applyBorder="1"/>
    <xf numFmtId="0" fontId="5" fillId="0" borderId="6" xfId="2" applyFont="1" applyBorder="1"/>
    <xf numFmtId="0" fontId="1" fillId="0" borderId="7" xfId="2" applyBorder="1"/>
    <xf numFmtId="0" fontId="1" fillId="0" borderId="7" xfId="2" applyBorder="1" applyAlignment="1">
      <alignment horizontal="center"/>
    </xf>
    <xf numFmtId="10" fontId="1" fillId="0" borderId="7" xfId="1" applyNumberForma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0" fontId="6" fillId="0" borderId="0" xfId="0" applyFont="1"/>
    <xf numFmtId="14" fontId="6" fillId="0" borderId="0" xfId="0" applyNumberFormat="1" applyFont="1"/>
    <xf numFmtId="0" fontId="1" fillId="2" borderId="9" xfId="2" applyFill="1" applyBorder="1"/>
    <xf numFmtId="0" fontId="5" fillId="2" borderId="10" xfId="2" applyFont="1" applyFill="1" applyBorder="1"/>
    <xf numFmtId="10" fontId="1" fillId="2" borderId="11" xfId="1" applyNumberFormat="1" applyFill="1" applyBorder="1" applyAlignment="1">
      <alignment horizontal="center"/>
    </xf>
    <xf numFmtId="10" fontId="1" fillId="2" borderId="12" xfId="1" applyNumberFormat="1" applyFill="1" applyBorder="1" applyAlignment="1">
      <alignment horizontal="center"/>
    </xf>
    <xf numFmtId="0" fontId="6" fillId="0" borderId="13" xfId="0" applyFont="1" applyBorder="1"/>
    <xf numFmtId="0" fontId="6" fillId="3" borderId="13" xfId="0" applyFont="1" applyFill="1" applyBorder="1"/>
    <xf numFmtId="0" fontId="0" fillId="0" borderId="9" xfId="0" applyBorder="1"/>
    <xf numFmtId="0" fontId="0" fillId="0" borderId="13" xfId="0" applyBorder="1"/>
    <xf numFmtId="1" fontId="0" fillId="3" borderId="13" xfId="0" applyNumberFormat="1" applyFill="1" applyBorder="1"/>
    <xf numFmtId="0" fontId="7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13" xfId="0" applyNumberFormat="1" applyBorder="1"/>
    <xf numFmtId="1" fontId="7" fillId="0" borderId="13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8" fillId="4" borderId="13" xfId="0" applyNumberFormat="1" applyFont="1" applyFill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3">
    <cellStyle name="Normal" xfId="0" builtinId="0"/>
    <cellStyle name="Normal 6" xfId="2" xr:uid="{2370DA7C-1443-441F-BF5F-3BC1B70E6AE6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2AE7-7F49-4AB4-8DD6-2DC76BBEFEE5}">
  <dimension ref="A1:D21"/>
  <sheetViews>
    <sheetView tabSelected="1" view="pageBreakPreview" zoomScale="60" zoomScaleNormal="100" workbookViewId="0">
      <selection activeCell="B22" sqref="B22"/>
    </sheetView>
  </sheetViews>
  <sheetFormatPr baseColWidth="10" defaultRowHeight="14.4" x14ac:dyDescent="0.3"/>
  <cols>
    <col min="1" max="1" width="29.33203125" bestFit="1" customWidth="1"/>
    <col min="2" max="2" width="16.33203125" bestFit="1" customWidth="1"/>
    <col min="3" max="3" width="21.77734375" bestFit="1" customWidth="1"/>
    <col min="4" max="4" width="19.88671875" bestFit="1" customWidth="1"/>
  </cols>
  <sheetData>
    <row r="1" spans="1:4" ht="15" thickBot="1" x14ac:dyDescent="0.35"/>
    <row r="2" spans="1:4" ht="13.8" customHeight="1" thickBot="1" x14ac:dyDescent="0.35">
      <c r="A2" s="28" t="s">
        <v>19</v>
      </c>
      <c r="B2" s="29"/>
      <c r="C2" s="29"/>
      <c r="D2" s="30"/>
    </row>
    <row r="3" spans="1:4" ht="15" thickBot="1" x14ac:dyDescent="0.35"/>
    <row r="4" spans="1:4" ht="15" thickBot="1" x14ac:dyDescent="0.35">
      <c r="A4" s="1"/>
      <c r="B4" s="2"/>
      <c r="C4" s="3" t="s">
        <v>0</v>
      </c>
      <c r="D4" s="4"/>
    </row>
    <row r="5" spans="1:4" ht="15" thickBot="1" x14ac:dyDescent="0.35">
      <c r="A5" s="5"/>
      <c r="B5" s="6"/>
      <c r="C5" s="7" t="s">
        <v>1</v>
      </c>
      <c r="D5" s="8" t="s">
        <v>2</v>
      </c>
    </row>
    <row r="6" spans="1:4" ht="15" thickBot="1" x14ac:dyDescent="0.35">
      <c r="A6" s="5" t="s">
        <v>3</v>
      </c>
      <c r="B6" s="6"/>
      <c r="C6" s="9">
        <f>33/(33+258.7)</f>
        <v>0.11312992800822763</v>
      </c>
      <c r="D6" s="10">
        <f>258.7/(33+258.7)</f>
        <v>0.88687007199177237</v>
      </c>
    </row>
    <row r="7" spans="1:4" x14ac:dyDescent="0.3">
      <c r="A7" s="11"/>
      <c r="B7" s="11"/>
      <c r="C7" s="12" t="s">
        <v>4</v>
      </c>
      <c r="D7" s="11"/>
    </row>
    <row r="8" spans="1:4" x14ac:dyDescent="0.3">
      <c r="A8" s="11"/>
      <c r="B8" s="11"/>
      <c r="C8" s="12" t="s">
        <v>5</v>
      </c>
      <c r="D8" s="11" t="s">
        <v>6</v>
      </c>
    </row>
    <row r="9" spans="1:4" x14ac:dyDescent="0.3">
      <c r="A9" s="13" t="s">
        <v>7</v>
      </c>
      <c r="B9" s="14"/>
      <c r="C9" s="15">
        <v>0.123</v>
      </c>
      <c r="D9" s="16">
        <v>0.877</v>
      </c>
    </row>
    <row r="11" spans="1:4" x14ac:dyDescent="0.3">
      <c r="A11" s="11"/>
      <c r="B11" s="17" t="s">
        <v>8</v>
      </c>
      <c r="C11" s="18" t="s">
        <v>9</v>
      </c>
      <c r="D11" s="18" t="s">
        <v>10</v>
      </c>
    </row>
    <row r="12" spans="1:4" x14ac:dyDescent="0.3">
      <c r="A12" s="19" t="s">
        <v>11</v>
      </c>
      <c r="B12" s="20">
        <f>8276.94</f>
        <v>8276.94</v>
      </c>
      <c r="C12" s="21">
        <f>+C9*B12</f>
        <v>1018.06362</v>
      </c>
      <c r="D12" s="21">
        <f>+D9*B12</f>
        <v>7258.8763800000006</v>
      </c>
    </row>
    <row r="13" spans="1:4" x14ac:dyDescent="0.3">
      <c r="A13" s="19" t="s">
        <v>12</v>
      </c>
      <c r="B13" s="20">
        <v>3380.44</v>
      </c>
      <c r="C13" s="21">
        <f>+C9*B13</f>
        <v>415.79412000000002</v>
      </c>
      <c r="D13" s="21">
        <f>+D9*B13</f>
        <v>2964.64588</v>
      </c>
    </row>
    <row r="14" spans="1:4" x14ac:dyDescent="0.3">
      <c r="A14" s="19" t="s">
        <v>13</v>
      </c>
      <c r="B14" s="20">
        <v>8856</v>
      </c>
      <c r="C14" s="21">
        <f>+C9*B14</f>
        <v>1089.288</v>
      </c>
      <c r="D14" s="21">
        <f>+D9*B14</f>
        <v>7766.7120000000004</v>
      </c>
    </row>
    <row r="17" spans="1:4" x14ac:dyDescent="0.3">
      <c r="A17" s="20"/>
      <c r="B17" s="20"/>
      <c r="C17" s="20"/>
      <c r="D17" s="20"/>
    </row>
    <row r="18" spans="1:4" x14ac:dyDescent="0.3">
      <c r="A18" s="20"/>
      <c r="B18" s="20" t="s">
        <v>16</v>
      </c>
      <c r="C18" s="20" t="s">
        <v>17</v>
      </c>
      <c r="D18" s="22" t="s">
        <v>14</v>
      </c>
    </row>
    <row r="19" spans="1:4" x14ac:dyDescent="0.3">
      <c r="A19" s="20" t="s">
        <v>15</v>
      </c>
      <c r="B19" s="23">
        <v>1610</v>
      </c>
      <c r="C19" s="24">
        <f>+C12+C13</f>
        <v>1433.8577399999999</v>
      </c>
      <c r="D19" s="25">
        <f>+-B19+C19</f>
        <v>-176.14226000000008</v>
      </c>
    </row>
    <row r="20" spans="1:4" x14ac:dyDescent="0.3">
      <c r="A20" s="20" t="s">
        <v>13</v>
      </c>
      <c r="B20" s="26"/>
      <c r="C20" s="24">
        <f>+C14</f>
        <v>1089.288</v>
      </c>
      <c r="D20" s="25">
        <f>+-B20+C20</f>
        <v>1089.288</v>
      </c>
    </row>
    <row r="21" spans="1:4" x14ac:dyDescent="0.3">
      <c r="A21" s="20" t="s">
        <v>18</v>
      </c>
      <c r="B21" s="20">
        <f>SUM(B19)</f>
        <v>1610</v>
      </c>
      <c r="C21" s="24">
        <f>SUM(C19:C20)</f>
        <v>2523.1457399999999</v>
      </c>
      <c r="D21" s="27">
        <f>+C21-B21</f>
        <v>913.14573999999993</v>
      </c>
    </row>
  </sheetData>
  <mergeCells count="3">
    <mergeCell ref="C4:D4"/>
    <mergeCell ref="B19:B20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Ichiaka KONE</dc:creator>
  <cp:lastModifiedBy>Ichiaka KONE</cp:lastModifiedBy>
  <dcterms:created xsi:type="dcterms:W3CDTF">2025-11-03T10:22:59Z</dcterms:created>
  <dcterms:modified xsi:type="dcterms:W3CDTF">2025-11-03T10:48:45Z</dcterms:modified>
</cp:coreProperties>
</file>