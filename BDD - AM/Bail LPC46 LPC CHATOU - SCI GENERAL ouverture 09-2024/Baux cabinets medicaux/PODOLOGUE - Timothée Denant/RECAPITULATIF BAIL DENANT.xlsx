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 partagés\05 - Finances - comptabilité\61-Baux\03 - BAUX OK\Bail LPC46 LPC CHATOU - SCI GENERAL ouverture 09-2024\Baux cabinets medicaux\PODOLOGUE - Timothée Denant\"/>
    </mc:Choice>
  </mc:AlternateContent>
  <xr:revisionPtr revIDLastSave="0" documentId="13_ncr:1_{B87381F1-5AE9-4063-8991-D610C3A48D3D}" xr6:coauthVersionLast="47" xr6:coauthVersionMax="47" xr10:uidLastSave="{00000000-0000-0000-0000-000000000000}"/>
  <bookViews>
    <workbookView xWindow="-28920" yWindow="-120" windowWidth="29040" windowHeight="15720" xr2:uid="{2BC2E6E9-C79E-4F52-80EC-D2476AE53E0B}"/>
  </bookViews>
  <sheets>
    <sheet name="BAIL" sheetId="1" r:id="rId1"/>
    <sheet name="INFOS POUR 6660-REV" sheetId="4" r:id="rId2"/>
    <sheet name="CHARGES" sheetId="2" state="hidden" r:id="rId3"/>
    <sheet name="TAXES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6" i="1" l="1"/>
  <c r="B29" i="1"/>
  <c r="B28" i="1"/>
  <c r="C25" i="1"/>
  <c r="D25" i="1" s="1"/>
  <c r="B24" i="1"/>
  <c r="C24" i="1" s="1"/>
  <c r="D24" i="1" s="1"/>
  <c r="E24" i="1" s="1"/>
  <c r="F24" i="1" s="1"/>
  <c r="G24" i="1" s="1"/>
  <c r="H24" i="1" s="1"/>
  <c r="I24" i="1" s="1"/>
  <c r="J24" i="1" s="1"/>
  <c r="K24" i="1" s="1"/>
  <c r="B7" i="1"/>
  <c r="B12" i="1"/>
  <c r="B11" i="1"/>
  <c r="C9" i="1"/>
  <c r="C29" i="1" l="1"/>
  <c r="E25" i="1"/>
  <c r="D29" i="1"/>
  <c r="D28" i="1"/>
  <c r="C28" i="1"/>
  <c r="C8" i="1"/>
  <c r="F25" i="1" l="1"/>
  <c r="E29" i="1"/>
  <c r="E28" i="1"/>
  <c r="C12" i="1"/>
  <c r="C11" i="1"/>
  <c r="C7" i="1"/>
  <c r="D8" i="1"/>
  <c r="G25" i="1" l="1"/>
  <c r="F29" i="1"/>
  <c r="F28" i="1"/>
  <c r="E8" i="1"/>
  <c r="D12" i="1"/>
  <c r="D11" i="1"/>
  <c r="D7" i="1"/>
  <c r="E7" i="1" s="1"/>
  <c r="F7" i="1" s="1"/>
  <c r="G7" i="1" s="1"/>
  <c r="H7" i="1" s="1"/>
  <c r="I7" i="1" s="1"/>
  <c r="J7" i="1" s="1"/>
  <c r="G29" i="1" l="1"/>
  <c r="G28" i="1"/>
  <c r="H25" i="1"/>
  <c r="K7" i="1"/>
  <c r="E12" i="1"/>
  <c r="E11" i="1"/>
  <c r="F8" i="1"/>
  <c r="H29" i="1" l="1"/>
  <c r="H28" i="1"/>
  <c r="I25" i="1"/>
  <c r="F12" i="1"/>
  <c r="F11" i="1"/>
  <c r="G8" i="1"/>
  <c r="I29" i="1" l="1"/>
  <c r="I28" i="1"/>
  <c r="J25" i="1"/>
  <c r="G12" i="1"/>
  <c r="G11" i="1"/>
  <c r="H8" i="1"/>
  <c r="J28" i="1" l="1"/>
  <c r="J29" i="1"/>
  <c r="K25" i="1"/>
  <c r="H12" i="1"/>
  <c r="H11" i="1"/>
  <c r="I8" i="1"/>
  <c r="K29" i="1" l="1"/>
  <c r="K28" i="1"/>
  <c r="I12" i="1"/>
  <c r="I11" i="1"/>
  <c r="J8" i="1"/>
  <c r="J12" i="1" l="1"/>
  <c r="J11" i="1"/>
  <c r="K8" i="1"/>
  <c r="K12" i="1" l="1"/>
  <c r="K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tc={608A678D-F669-49FB-912A-0E0E3E903D45}</author>
    <author>tc={9F0053BA-A115-475F-B719-20D28E4B4BE8}</author>
  </authors>
  <commentList>
    <comment ref="B8" authorId="0" shapeId="0" xr:uid="{608A678D-F669-49FB-912A-0E0E3E903D4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6 mois de franchise a compter de la prise d'effet seule les charges sont à payer</t>
      </text>
    </comment>
    <comment ref="B25" authorId="1" shapeId="0" xr:uid="{9F0053BA-A115-475F-B719-20D28E4B4BE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6 mois de franchise a compter de la prise d'effet seule les charges sont à payer</t>
      </text>
    </comment>
  </commentList>
</comments>
</file>

<file path=xl/sharedStrings.xml><?xml version="1.0" encoding="utf-8"?>
<sst xmlns="http://schemas.openxmlformats.org/spreadsheetml/2006/main" count="79" uniqueCount="62">
  <si>
    <t>BAILLEUR</t>
  </si>
  <si>
    <t>DATE DU BAIL</t>
  </si>
  <si>
    <t>DUREE</t>
  </si>
  <si>
    <t>ANNEE</t>
  </si>
  <si>
    <t>INITIAL</t>
  </si>
  <si>
    <t xml:space="preserve">PROVISIONS POUR CHARGES </t>
  </si>
  <si>
    <t>FRAIS ASSURANCES</t>
  </si>
  <si>
    <t xml:space="preserve">AUTRES CHARGES </t>
  </si>
  <si>
    <t xml:space="preserve">HONORAIRES </t>
  </si>
  <si>
    <t>ANNEES</t>
  </si>
  <si>
    <t xml:space="preserve">TAXES FONCIERES </t>
  </si>
  <si>
    <t xml:space="preserve">AUTRES TAXES </t>
  </si>
  <si>
    <t>REGULARISATION TAXE FONCIERE</t>
  </si>
  <si>
    <t>AJUSTEMENT DEPOT DE GARANTIE</t>
  </si>
  <si>
    <t>-</t>
  </si>
  <si>
    <t>LOYER ANNUEL HT (HORS CHARGES)</t>
  </si>
  <si>
    <t>LOYER MENSUEL HT (HORS CHARGES)</t>
  </si>
  <si>
    <t>SUPERFICIE</t>
  </si>
  <si>
    <t>DATE PRISE EFFET</t>
  </si>
  <si>
    <t>DEPOT DE GARANTIE 3 mois de loyer</t>
  </si>
  <si>
    <t>REDUCTION</t>
  </si>
  <si>
    <t>charges 12 mois</t>
  </si>
  <si>
    <t>LPC 47 NICE</t>
  </si>
  <si>
    <t>OCCUPANT</t>
  </si>
  <si>
    <t>ADRESSE BIEN</t>
  </si>
  <si>
    <t>PROPRIETAIRE</t>
  </si>
  <si>
    <t>NOM</t>
  </si>
  <si>
    <t xml:space="preserve">ADRESSE </t>
  </si>
  <si>
    <t>CODE POSTALE</t>
  </si>
  <si>
    <t>VILLE</t>
  </si>
  <si>
    <t xml:space="preserve">DATE D'ACQUISITION </t>
  </si>
  <si>
    <t>AFFECTATION LOCAUX AVANT OUVERTURE CRECHE</t>
  </si>
  <si>
    <t>PLAN</t>
  </si>
  <si>
    <t>SURFACE LOCATIVE EXTERIEURE</t>
  </si>
  <si>
    <t>DATE OUVERTURE CRECHE</t>
  </si>
  <si>
    <t>DAACT (dossier mise à dispo)</t>
  </si>
  <si>
    <t>DOSSIER PC (dossier mise à dispo)</t>
  </si>
  <si>
    <t>9 ans</t>
  </si>
  <si>
    <t>01/02/2017-31/01/2018</t>
  </si>
  <si>
    <t>01/02/2018-31/01/2019</t>
  </si>
  <si>
    <t>01/02/2019-31/01/2020</t>
  </si>
  <si>
    <t>01/02/2020-31/01/2021</t>
  </si>
  <si>
    <t>01/02/2021-31/01/2022</t>
  </si>
  <si>
    <t>01/02/2022-31/01/2023</t>
  </si>
  <si>
    <t>01/02/2023-31/01/2024</t>
  </si>
  <si>
    <t>01/02/2024-31/01/2025</t>
  </si>
  <si>
    <t>01/02/2025-31/01/2026</t>
  </si>
  <si>
    <t>INDICE (INDEXATION DU LOYER) ILAT T3</t>
  </si>
  <si>
    <t>LOYER TRIMESTRIEL HT (HORS CHARGES)</t>
  </si>
  <si>
    <t>LPC EPONE - intial</t>
  </si>
  <si>
    <t>LPC EPONE - Avenant 3 renouvellement</t>
  </si>
  <si>
    <t>01/02/2026-31/01/2027</t>
  </si>
  <si>
    <t>01/02/2027-31/01/2028</t>
  </si>
  <si>
    <t>01/02/2028-31/01/2029</t>
  </si>
  <si>
    <t>01/02/2029-31/01/2030</t>
  </si>
  <si>
    <t>01/02/2030-31/01/2031</t>
  </si>
  <si>
    <t>01/02/2031-31/01/2032</t>
  </si>
  <si>
    <t>01/02/2032-31/01/2033</t>
  </si>
  <si>
    <t>01/02/2033-31/01/2034</t>
  </si>
  <si>
    <t>01/02/2034-31/01/2035</t>
  </si>
  <si>
    <t>INDICE (INDEXATION DU LOYER) ILAT T4</t>
  </si>
  <si>
    <t>DATE DU BAIL -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</si>
</sst>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#,##0\ &quot;€&quot;;[Red]\-#,##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  <numFmt numFmtId="165" formatCode="_-* #,##0.00\ [$€-40C]_-;\-* #,##0.00\ [$€-40C]_-;_-* &quot;-&quot;??\ [$€-40C]_-;_-@_-"/>
    <numFmt numFmtId="166" formatCode="_-* #,##0.00\ _€_-;\-* #,##0.00\ _€_-;_-* &quot;-&quot;??\ _€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9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63">
    <xf numFmtId="0" fontId="0" fillId="0" borderId="0" xfId="0"/>
    <xf numFmtId="0" fontId="2" fillId="2" borderId="3" xfId="0" applyFont="1" applyFill="1" applyBorder="1"/>
    <xf numFmtId="0" fontId="2" fillId="2" borderId="4" xfId="0" applyFont="1" applyFill="1" applyBorder="1"/>
    <xf numFmtId="164" fontId="0" fillId="0" borderId="4" xfId="0" applyNumberFormat="1" applyBorder="1" applyAlignment="1">
      <alignment horizontal="center" vertical="center"/>
    </xf>
    <xf numFmtId="0" fontId="2" fillId="2" borderId="5" xfId="0" applyFont="1" applyFill="1" applyBorder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7" xfId="0" applyFont="1" applyFill="1" applyBorder="1"/>
    <xf numFmtId="165" fontId="0" fillId="0" borderId="4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44" fontId="0" fillId="0" borderId="8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44" fontId="0" fillId="0" borderId="5" xfId="0" applyNumberFormat="1" applyBorder="1" applyAlignment="1">
      <alignment horizontal="center" vertical="center"/>
    </xf>
    <xf numFmtId="0" fontId="0" fillId="0" borderId="9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165" fontId="0" fillId="0" borderId="0" xfId="0" applyNumberFormat="1"/>
    <xf numFmtId="44" fontId="0" fillId="0" borderId="13" xfId="2" applyFont="1" applyBorder="1"/>
    <xf numFmtId="0" fontId="2" fillId="2" borderId="14" xfId="0" applyFont="1" applyFill="1" applyBorder="1"/>
    <xf numFmtId="0" fontId="2" fillId="2" borderId="15" xfId="0" applyFont="1" applyFill="1" applyBorder="1"/>
    <xf numFmtId="0" fontId="0" fillId="0" borderId="0" xfId="0" applyAlignment="1">
      <alignment wrapText="1"/>
    </xf>
    <xf numFmtId="0" fontId="2" fillId="2" borderId="4" xfId="0" applyFont="1" applyFill="1" applyBorder="1" applyAlignment="1">
      <alignment vertical="center" wrapText="1"/>
    </xf>
    <xf numFmtId="44" fontId="0" fillId="0" borderId="17" xfId="2" applyFont="1" applyBorder="1"/>
    <xf numFmtId="164" fontId="0" fillId="0" borderId="16" xfId="1" applyNumberFormat="1" applyFont="1" applyBorder="1" applyAlignment="1">
      <alignment horizontal="center"/>
    </xf>
    <xf numFmtId="164" fontId="0" fillId="0" borderId="18" xfId="1" applyNumberFormat="1" applyFont="1" applyBorder="1" applyAlignment="1">
      <alignment horizontal="center"/>
    </xf>
    <xf numFmtId="44" fontId="0" fillId="0" borderId="12" xfId="2" applyFont="1" applyBorder="1"/>
    <xf numFmtId="0" fontId="0" fillId="0" borderId="6" xfId="0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64" fontId="0" fillId="0" borderId="23" xfId="1" applyNumberFormat="1" applyFont="1" applyBorder="1" applyAlignment="1">
      <alignment horizontal="center"/>
    </xf>
    <xf numFmtId="164" fontId="0" fillId="0" borderId="24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9" xfId="0" applyBorder="1" applyAlignment="1">
      <alignment horizontal="center"/>
    </xf>
    <xf numFmtId="44" fontId="0" fillId="0" borderId="25" xfId="2" applyFont="1" applyBorder="1"/>
    <xf numFmtId="44" fontId="0" fillId="0" borderId="26" xfId="2" applyFont="1" applyBorder="1"/>
    <xf numFmtId="0" fontId="2" fillId="2" borderId="28" xfId="0" applyFont="1" applyFill="1" applyBorder="1"/>
    <xf numFmtId="0" fontId="0" fillId="4" borderId="20" xfId="0" applyFill="1" applyBorder="1" applyAlignment="1">
      <alignment horizontal="center" vertical="center"/>
    </xf>
    <xf numFmtId="14" fontId="5" fillId="4" borderId="8" xfId="0" applyNumberFormat="1" applyFont="1" applyFill="1" applyBorder="1" applyAlignment="1">
      <alignment horizontal="center" vertical="center"/>
    </xf>
    <xf numFmtId="164" fontId="0" fillId="4" borderId="21" xfId="0" applyNumberFormat="1" applyFill="1" applyBorder="1" applyAlignment="1">
      <alignment horizontal="center" vertical="center"/>
    </xf>
    <xf numFmtId="6" fontId="0" fillId="4" borderId="12" xfId="0" applyNumberFormat="1" applyFill="1" applyBorder="1"/>
    <xf numFmtId="14" fontId="5" fillId="5" borderId="8" xfId="0" applyNumberFormat="1" applyFont="1" applyFill="1" applyBorder="1" applyAlignment="1">
      <alignment horizontal="center" vertical="center"/>
    </xf>
    <xf numFmtId="14" fontId="0" fillId="5" borderId="21" xfId="0" applyNumberFormat="1" applyFill="1" applyBorder="1" applyAlignment="1">
      <alignment horizontal="center" vertical="center" wrapText="1"/>
    </xf>
    <xf numFmtId="164" fontId="0" fillId="5" borderId="21" xfId="0" applyNumberFormat="1" applyFill="1" applyBorder="1" applyAlignment="1">
      <alignment horizontal="center" vertical="center"/>
    </xf>
    <xf numFmtId="0" fontId="0" fillId="0" borderId="29" xfId="0" applyBorder="1"/>
    <xf numFmtId="0" fontId="0" fillId="0" borderId="12" xfId="0" applyBorder="1" applyAlignment="1">
      <alignment horizontal="center"/>
    </xf>
    <xf numFmtId="0" fontId="0" fillId="0" borderId="28" xfId="0" applyBorder="1"/>
    <xf numFmtId="0" fontId="0" fillId="0" borderId="31" xfId="0" applyBorder="1"/>
    <xf numFmtId="0" fontId="0" fillId="0" borderId="14" xfId="0" applyBorder="1" applyAlignment="1">
      <alignment horizontal="center"/>
    </xf>
    <xf numFmtId="0" fontId="0" fillId="0" borderId="32" xfId="0" applyBorder="1"/>
    <xf numFmtId="0" fontId="0" fillId="0" borderId="4" xfId="0" applyBorder="1" applyAlignment="1">
      <alignment horizontal="center"/>
    </xf>
    <xf numFmtId="0" fontId="0" fillId="0" borderId="33" xfId="0" applyBorder="1"/>
    <xf numFmtId="14" fontId="0" fillId="0" borderId="7" xfId="0" applyNumberFormat="1" applyBorder="1" applyAlignment="1">
      <alignment horizontal="center"/>
    </xf>
    <xf numFmtId="0" fontId="0" fillId="0" borderId="10" xfId="0" applyBorder="1" applyAlignment="1">
      <alignment wrapText="1"/>
    </xf>
    <xf numFmtId="0" fontId="0" fillId="0" borderId="12" xfId="0" applyBorder="1"/>
    <xf numFmtId="0" fontId="0" fillId="0" borderId="34" xfId="0" applyBorder="1" applyAlignment="1">
      <alignment horizontal="center"/>
    </xf>
    <xf numFmtId="14" fontId="0" fillId="0" borderId="34" xfId="0" applyNumberFormat="1" applyBorder="1" applyAlignment="1">
      <alignment horizontal="center"/>
    </xf>
    <xf numFmtId="14" fontId="0" fillId="0" borderId="25" xfId="0" applyNumberFormat="1" applyBorder="1" applyAlignment="1">
      <alignment horizontal="center" wrapText="1"/>
    </xf>
    <xf numFmtId="164" fontId="0" fillId="0" borderId="0" xfId="0" applyNumberFormat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0" borderId="30" xfId="0" applyFont="1" applyBorder="1" applyAlignment="1">
      <alignment horizontal="center" vertical="center" textRotation="90" readingOrder="1"/>
    </xf>
    <xf numFmtId="0" fontId="1" fillId="0" borderId="9" xfId="0" applyFont="1" applyBorder="1" applyAlignment="1">
      <alignment horizontal="center" vertical="center" textRotation="90" readingOrder="1"/>
    </xf>
    <xf numFmtId="0" fontId="1" fillId="0" borderId="15" xfId="0" applyFont="1" applyBorder="1" applyAlignment="1">
      <alignment horizontal="center" vertical="center" textRotation="90" readingOrder="1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</cellXfs>
  <cellStyles count="9">
    <cellStyle name="Milliers" xfId="1" builtinId="3"/>
    <cellStyle name="Milliers 2" xfId="4" xr:uid="{B9846204-6C62-4927-81E7-99FC5BEDB2DA}"/>
    <cellStyle name="Milliers 3" xfId="7" xr:uid="{9EF7544C-81D3-401A-B0B4-7C8B49A753F7}"/>
    <cellStyle name="Monétaire" xfId="2" builtinId="4"/>
    <cellStyle name="Monétaire 2" xfId="8" xr:uid="{143584EA-FF10-4FEC-9E4D-2B5A3C393ACA}"/>
    <cellStyle name="Normal" xfId="0" builtinId="0"/>
    <cellStyle name="Normal 3" xfId="3" xr:uid="{2662C083-AAF0-48B0-81A9-B3D4E15E29EF}"/>
    <cellStyle name="Normal 3 2" xfId="5" xr:uid="{524E673D-AAC1-4056-AC8D-F2FF59039F34}"/>
    <cellStyle name="Pourcentage 2 2" xfId="6" xr:uid="{82CF1F87-9E10-4E9B-BC13-33EAA269D358}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1409700</xdr:colOff>
      <xdr:row>30</xdr:row>
      <xdr:rowOff>47625</xdr:rowOff>
    </xdr:from>
    <xdr:to>
      <xdr:col>8</xdr:col>
      <xdr:colOff>53965</xdr:colOff>
      <xdr:row>48</xdr:row>
      <xdr:rowOff>114589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0967627-E81C-BE66-8DAE-F05A050D7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1125" y="6010275"/>
          <a:ext cx="7216765" cy="333403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chiaka KONE" id="{5ECAD981-D878-4860-B22D-252DBD34D6CE}" userId="S::ikone@lpc040411.onmicrosoft.com::694664da-ba55-42b4-bfe3-51764e3acdc0" providerId="AD"/>
</personList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8" dT="2022-05-19T14:55:59.10" personId="{5ECAD981-D878-4860-B22D-252DBD34D6CE}" id="{608A678D-F669-49FB-912A-0E0E3E903D45}">
    <text>6 mois de franchise a compter de la prise d'effet seule les charges sont à payer</text>
  </threadedComment>
  <threadedComment ref="B25" dT="2022-05-19T14:55:59.10" personId="{5ECAD981-D878-4860-B22D-252DBD34D6CE}" id="{9F0053BA-A115-475F-B719-20D28E4B4BE8}">
    <text>6 mois de franchise a compter de la prise d'effet seule les charges sont à payer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3716-0CEF-4925-BB16-587E35F9A5D0}">
  <dimension ref="A1:K31"/>
  <sheetViews>
    <sheetView showGridLines="0" tabSelected="1" topLeftCell="A3" workbookViewId="0">
      <selection activeCell="D17" sqref="D17"/>
    </sheetView>
  </sheetViews>
  <sheetFormatPr baseColWidth="10" defaultRowHeight="14.4" x14ac:dyDescent="0.3"/>
  <cols>
    <col min="1" max="1" width="34.77734375" bestFit="1" customWidth="1"/>
    <col min="2" max="2" width="20.44140625" bestFit="1" customWidth="1"/>
    <col min="3" max="11" width="20.77734375" bestFit="1" customWidth="1"/>
    <col min="12" max="13" width="15.6640625" customWidth="1"/>
  </cols>
  <sheetData>
    <row r="1" spans="1:11" ht="15" thickBot="1" x14ac:dyDescent="0.35">
      <c r="A1" s="56" t="s">
        <v>49</v>
      </c>
      <c r="B1" s="57"/>
    </row>
    <row r="2" spans="1:11" x14ac:dyDescent="0.3">
      <c r="A2" s="1" t="s">
        <v>0</v>
      </c>
      <c r="B2" s="25"/>
    </row>
    <row r="3" spans="1:11" x14ac:dyDescent="0.3">
      <c r="A3" s="17" t="s">
        <v>17</v>
      </c>
      <c r="B3" s="34">
        <v>23.6</v>
      </c>
    </row>
    <row r="4" spans="1:11" x14ac:dyDescent="0.3">
      <c r="A4" s="2" t="s">
        <v>1</v>
      </c>
      <c r="B4" s="35"/>
    </row>
    <row r="5" spans="1:11" ht="15" thickBot="1" x14ac:dyDescent="0.35">
      <c r="A5" s="2" t="s">
        <v>18</v>
      </c>
      <c r="B5" s="38">
        <v>42767</v>
      </c>
    </row>
    <row r="6" spans="1:11" s="19" customFormat="1" ht="29.4" thickBot="1" x14ac:dyDescent="0.35">
      <c r="A6" s="20" t="s">
        <v>2</v>
      </c>
      <c r="B6" s="39" t="s">
        <v>37</v>
      </c>
      <c r="C6" s="54" t="s">
        <v>38</v>
      </c>
      <c r="D6" s="54" t="s">
        <v>39</v>
      </c>
      <c r="E6" s="54" t="s">
        <v>40</v>
      </c>
      <c r="F6" s="54" t="s">
        <v>41</v>
      </c>
      <c r="G6" s="54" t="s">
        <v>42</v>
      </c>
      <c r="H6" s="54" t="s">
        <v>43</v>
      </c>
      <c r="I6" s="54" t="s">
        <v>44</v>
      </c>
      <c r="J6" s="54" t="s">
        <v>45</v>
      </c>
      <c r="K6" s="54" t="s">
        <v>46</v>
      </c>
    </row>
    <row r="7" spans="1:11" x14ac:dyDescent="0.3">
      <c r="A7" s="2" t="s">
        <v>19</v>
      </c>
      <c r="B7" s="36">
        <f>+B8/2</f>
        <v>3326</v>
      </c>
      <c r="C7" s="27">
        <f>+B7</f>
        <v>3326</v>
      </c>
      <c r="D7" s="28">
        <f>+C7*D9/C9</f>
        <v>3377.1033213727114</v>
      </c>
      <c r="E7" s="28">
        <f t="shared" ref="E7:K7" si="0">+D7*E9/D9</f>
        <v>3449.9332045266351</v>
      </c>
      <c r="F7" s="28">
        <f t="shared" si="0"/>
        <v>3514.50087404545</v>
      </c>
      <c r="G7" s="28">
        <f t="shared" si="0"/>
        <v>3495.5283834759407</v>
      </c>
      <c r="H7" s="28">
        <f t="shared" si="0"/>
        <v>3598.959057871009</v>
      </c>
      <c r="I7" s="28">
        <f t="shared" si="0"/>
        <v>3810.7165332597297</v>
      </c>
      <c r="J7" s="28">
        <f t="shared" si="0"/>
        <v>4043.894562517251</v>
      </c>
      <c r="K7" s="28">
        <f t="shared" si="0"/>
        <v>4195.9804949857389</v>
      </c>
    </row>
    <row r="8" spans="1:11" x14ac:dyDescent="0.3">
      <c r="A8" s="2" t="s">
        <v>15</v>
      </c>
      <c r="B8" s="40">
        <v>6652</v>
      </c>
      <c r="C8" s="23">
        <f>+B8-C10</f>
        <v>6652</v>
      </c>
      <c r="D8" s="22">
        <f>+C8*D9/C9-D10</f>
        <v>6754.2066427454229</v>
      </c>
      <c r="E8" s="22">
        <f>+D8*E9/D9-E10</f>
        <v>6899.8664090532702</v>
      </c>
      <c r="F8" s="22">
        <f t="shared" ref="F8:K8" si="1">+E8*F9/E9</f>
        <v>7029.0017480909</v>
      </c>
      <c r="G8" s="22">
        <f t="shared" si="1"/>
        <v>6991.0567669518814</v>
      </c>
      <c r="H8" s="22">
        <f t="shared" si="1"/>
        <v>7197.918115742018</v>
      </c>
      <c r="I8" s="22">
        <f t="shared" si="1"/>
        <v>7621.4330665194593</v>
      </c>
      <c r="J8" s="22">
        <f t="shared" si="1"/>
        <v>8087.7891250345019</v>
      </c>
      <c r="K8" s="22">
        <f t="shared" si="1"/>
        <v>8391.9609899714778</v>
      </c>
    </row>
    <row r="9" spans="1:11" ht="15" thickBot="1" x14ac:dyDescent="0.35">
      <c r="A9" s="7" t="s">
        <v>47</v>
      </c>
      <c r="B9" s="26">
        <v>108.69</v>
      </c>
      <c r="C9" s="29">
        <f>+B9</f>
        <v>108.69</v>
      </c>
      <c r="D9" s="30">
        <v>110.36</v>
      </c>
      <c r="E9" s="30">
        <v>112.74</v>
      </c>
      <c r="F9" s="30">
        <v>114.85</v>
      </c>
      <c r="G9" s="30">
        <v>114.23</v>
      </c>
      <c r="H9" s="30">
        <v>117.61</v>
      </c>
      <c r="I9" s="30">
        <v>124.53</v>
      </c>
      <c r="J9" s="30">
        <v>132.15</v>
      </c>
      <c r="K9" s="30">
        <v>137.12</v>
      </c>
    </row>
    <row r="10" spans="1:11" ht="15" thickBot="1" x14ac:dyDescent="0.35">
      <c r="A10" s="2" t="s">
        <v>20</v>
      </c>
      <c r="B10" s="24"/>
      <c r="C10" s="31">
        <v>0</v>
      </c>
      <c r="D10" s="32">
        <v>0</v>
      </c>
      <c r="E10" s="32">
        <v>0</v>
      </c>
      <c r="F10" s="32">
        <v>0</v>
      </c>
      <c r="G10" s="32"/>
      <c r="H10" s="32"/>
      <c r="I10" s="32"/>
      <c r="J10" s="32"/>
      <c r="K10" s="32"/>
    </row>
    <row r="11" spans="1:11" ht="15" thickBot="1" x14ac:dyDescent="0.35">
      <c r="A11" s="18" t="s">
        <v>16</v>
      </c>
      <c r="B11" s="16">
        <f>+B8/12</f>
        <v>554.33333333333337</v>
      </c>
      <c r="C11" s="21">
        <f>+C8/12</f>
        <v>554.33333333333337</v>
      </c>
      <c r="D11" s="21">
        <f t="shared" ref="D11:K11" si="2">+D8/12</f>
        <v>562.85055356211853</v>
      </c>
      <c r="E11" s="21">
        <f t="shared" si="2"/>
        <v>574.98886742110585</v>
      </c>
      <c r="F11" s="21">
        <f t="shared" si="2"/>
        <v>585.75014567424171</v>
      </c>
      <c r="G11" s="21">
        <f t="shared" si="2"/>
        <v>582.58806391265682</v>
      </c>
      <c r="H11" s="21">
        <f t="shared" si="2"/>
        <v>599.82650964516813</v>
      </c>
      <c r="I11" s="21">
        <f t="shared" si="2"/>
        <v>635.11942220995491</v>
      </c>
      <c r="J11" s="21">
        <f t="shared" si="2"/>
        <v>673.98242708620853</v>
      </c>
      <c r="K11" s="21">
        <f t="shared" si="2"/>
        <v>699.33008249762315</v>
      </c>
    </row>
    <row r="12" spans="1:11" ht="15" thickBot="1" x14ac:dyDescent="0.35">
      <c r="A12" s="18" t="s">
        <v>48</v>
      </c>
      <c r="B12" s="16">
        <f>+B8/4</f>
        <v>1663</v>
      </c>
      <c r="C12" s="16">
        <f>+C8/4</f>
        <v>1663</v>
      </c>
      <c r="D12" s="16">
        <f t="shared" ref="D12:K12" si="3">+D8/4</f>
        <v>1688.5516606863557</v>
      </c>
      <c r="E12" s="16">
        <f t="shared" si="3"/>
        <v>1724.9666022633176</v>
      </c>
      <c r="F12" s="16">
        <f t="shared" si="3"/>
        <v>1757.250437022725</v>
      </c>
      <c r="G12" s="16">
        <f t="shared" si="3"/>
        <v>1747.7641917379704</v>
      </c>
      <c r="H12" s="16">
        <f t="shared" si="3"/>
        <v>1799.4795289355045</v>
      </c>
      <c r="I12" s="16">
        <f t="shared" si="3"/>
        <v>1905.3582666298648</v>
      </c>
      <c r="J12" s="16">
        <f t="shared" si="3"/>
        <v>2021.9472812586255</v>
      </c>
      <c r="K12" s="16">
        <f t="shared" si="3"/>
        <v>2097.9902474928695</v>
      </c>
    </row>
    <row r="13" spans="1:11" ht="15" thickBot="1" x14ac:dyDescent="0.35">
      <c r="K13" s="55"/>
    </row>
    <row r="14" spans="1:11" ht="15" thickBot="1" x14ac:dyDescent="0.35">
      <c r="A14" s="33" t="s">
        <v>21</v>
      </c>
      <c r="B14" s="37"/>
      <c r="J14" s="55"/>
    </row>
    <row r="15" spans="1:11" x14ac:dyDescent="0.3">
      <c r="J15" s="55"/>
    </row>
    <row r="17" spans="1:11" ht="15" thickBot="1" x14ac:dyDescent="0.35"/>
    <row r="18" spans="1:11" ht="15" thickBot="1" x14ac:dyDescent="0.35">
      <c r="A18" s="56" t="s">
        <v>50</v>
      </c>
      <c r="B18" s="57"/>
    </row>
    <row r="19" spans="1:11" x14ac:dyDescent="0.3">
      <c r="A19" s="1" t="s">
        <v>0</v>
      </c>
      <c r="B19" s="25"/>
    </row>
    <row r="20" spans="1:11" x14ac:dyDescent="0.3">
      <c r="A20" s="17" t="s">
        <v>17</v>
      </c>
      <c r="B20" s="34">
        <v>21.45</v>
      </c>
    </row>
    <row r="21" spans="1:11" x14ac:dyDescent="0.3">
      <c r="A21" s="2" t="s">
        <v>61</v>
      </c>
      <c r="B21" s="35">
        <v>45862</v>
      </c>
    </row>
    <row r="22" spans="1:11" ht="15" thickBot="1" x14ac:dyDescent="0.35">
      <c r="A22" s="2" t="s">
        <v>18</v>
      </c>
      <c r="B22" s="38">
        <v>46054</v>
      </c>
    </row>
    <row r="23" spans="1:11" ht="29.4" thickBot="1" x14ac:dyDescent="0.35">
      <c r="A23" s="20" t="s">
        <v>2</v>
      </c>
      <c r="B23" s="39" t="s">
        <v>37</v>
      </c>
      <c r="C23" s="54" t="s">
        <v>51</v>
      </c>
      <c r="D23" s="54" t="s">
        <v>52</v>
      </c>
      <c r="E23" s="54" t="s">
        <v>53</v>
      </c>
      <c r="F23" s="54" t="s">
        <v>54</v>
      </c>
      <c r="G23" s="54" t="s">
        <v>55</v>
      </c>
      <c r="H23" s="54" t="s">
        <v>56</v>
      </c>
      <c r="I23" s="54" t="s">
        <v>57</v>
      </c>
      <c r="J23" s="54" t="s">
        <v>58</v>
      </c>
      <c r="K23" s="54" t="s">
        <v>59</v>
      </c>
    </row>
    <row r="24" spans="1:11" x14ac:dyDescent="0.3">
      <c r="A24" s="2" t="s">
        <v>19</v>
      </c>
      <c r="B24" s="36">
        <f>+B25/2</f>
        <v>4196</v>
      </c>
      <c r="C24" s="27">
        <f>+B24</f>
        <v>4196</v>
      </c>
      <c r="D24" s="28">
        <f>+C24*D26/C26</f>
        <v>0</v>
      </c>
      <c r="E24" s="28" t="e">
        <f t="shared" ref="E24" si="4">+D24*E26/D26</f>
        <v>#DIV/0!</v>
      </c>
      <c r="F24" s="28" t="e">
        <f t="shared" ref="F24" si="5">+E24*F26/E26</f>
        <v>#DIV/0!</v>
      </c>
      <c r="G24" s="28" t="e">
        <f t="shared" ref="G24" si="6">+F24*G26/F26</f>
        <v>#DIV/0!</v>
      </c>
      <c r="H24" s="28" t="e">
        <f t="shared" ref="H24" si="7">+G24*H26/G26</f>
        <v>#DIV/0!</v>
      </c>
      <c r="I24" s="28" t="e">
        <f t="shared" ref="I24" si="8">+H24*I26/H26</f>
        <v>#DIV/0!</v>
      </c>
      <c r="J24" s="28" t="e">
        <f t="shared" ref="J24" si="9">+I24*J26/I26</f>
        <v>#DIV/0!</v>
      </c>
      <c r="K24" s="28" t="e">
        <f t="shared" ref="K24" si="10">+J24*K26/J26</f>
        <v>#DIV/0!</v>
      </c>
    </row>
    <row r="25" spans="1:11" x14ac:dyDescent="0.3">
      <c r="A25" s="2" t="s">
        <v>15</v>
      </c>
      <c r="B25" s="40">
        <v>8392</v>
      </c>
      <c r="C25" s="23">
        <f>+B25-C27</f>
        <v>8392</v>
      </c>
      <c r="D25" s="22">
        <f>+C25*D26/C26-D27</f>
        <v>0</v>
      </c>
      <c r="E25" s="22" t="e">
        <f>+D25*E26/D26-E27</f>
        <v>#DIV/0!</v>
      </c>
      <c r="F25" s="22" t="e">
        <f t="shared" ref="F25" si="11">+E25*F26/E26</f>
        <v>#DIV/0!</v>
      </c>
      <c r="G25" s="22" t="e">
        <f t="shared" ref="G25" si="12">+F25*G26/F26</f>
        <v>#DIV/0!</v>
      </c>
      <c r="H25" s="22" t="e">
        <f t="shared" ref="H25" si="13">+G25*H26/G26</f>
        <v>#DIV/0!</v>
      </c>
      <c r="I25" s="22" t="e">
        <f t="shared" ref="I25" si="14">+H25*I26/H26</f>
        <v>#DIV/0!</v>
      </c>
      <c r="J25" s="22" t="e">
        <f t="shared" ref="J25" si="15">+I25*J26/I26</f>
        <v>#DIV/0!</v>
      </c>
      <c r="K25" s="22" t="e">
        <f t="shared" ref="K25" si="16">+J25*K26/J26</f>
        <v>#DIV/0!</v>
      </c>
    </row>
    <row r="26" spans="1:11" ht="15" thickBot="1" x14ac:dyDescent="0.35">
      <c r="A26" s="7" t="s">
        <v>60</v>
      </c>
      <c r="B26" s="26">
        <v>137.29</v>
      </c>
      <c r="C26" s="29">
        <f>+B26</f>
        <v>137.29</v>
      </c>
      <c r="D26" s="30"/>
      <c r="E26" s="30"/>
      <c r="F26" s="30"/>
      <c r="G26" s="30"/>
      <c r="H26" s="30"/>
      <c r="I26" s="30"/>
      <c r="J26" s="30"/>
      <c r="K26" s="30"/>
    </row>
    <row r="27" spans="1:11" ht="15" thickBot="1" x14ac:dyDescent="0.35">
      <c r="A27" s="2" t="s">
        <v>20</v>
      </c>
      <c r="B27" s="24"/>
      <c r="C27" s="31">
        <v>0</v>
      </c>
      <c r="D27" s="32">
        <v>0</v>
      </c>
      <c r="E27" s="32">
        <v>0</v>
      </c>
      <c r="F27" s="32">
        <v>0</v>
      </c>
      <c r="G27" s="32"/>
      <c r="H27" s="32"/>
      <c r="I27" s="32"/>
      <c r="J27" s="32"/>
      <c r="K27" s="32"/>
    </row>
    <row r="28" spans="1:11" ht="15" thickBot="1" x14ac:dyDescent="0.35">
      <c r="A28" s="18" t="s">
        <v>16</v>
      </c>
      <c r="B28" s="16">
        <f>+B25/12</f>
        <v>699.33333333333337</v>
      </c>
      <c r="C28" s="21">
        <f>+C25/12</f>
        <v>699.33333333333337</v>
      </c>
      <c r="D28" s="21">
        <f t="shared" ref="D28:K28" si="17">+D25/12</f>
        <v>0</v>
      </c>
      <c r="E28" s="21" t="e">
        <f t="shared" si="17"/>
        <v>#DIV/0!</v>
      </c>
      <c r="F28" s="21" t="e">
        <f t="shared" si="17"/>
        <v>#DIV/0!</v>
      </c>
      <c r="G28" s="21" t="e">
        <f t="shared" si="17"/>
        <v>#DIV/0!</v>
      </c>
      <c r="H28" s="21" t="e">
        <f t="shared" si="17"/>
        <v>#DIV/0!</v>
      </c>
      <c r="I28" s="21" t="e">
        <f t="shared" si="17"/>
        <v>#DIV/0!</v>
      </c>
      <c r="J28" s="21" t="e">
        <f t="shared" si="17"/>
        <v>#DIV/0!</v>
      </c>
      <c r="K28" s="21" t="e">
        <f t="shared" si="17"/>
        <v>#DIV/0!</v>
      </c>
    </row>
    <row r="29" spans="1:11" ht="15" thickBot="1" x14ac:dyDescent="0.35">
      <c r="A29" s="18" t="s">
        <v>48</v>
      </c>
      <c r="B29" s="16">
        <f>+B25/4</f>
        <v>2098</v>
      </c>
      <c r="C29" s="16">
        <f>+C25/4</f>
        <v>2098</v>
      </c>
      <c r="D29" s="16">
        <f t="shared" ref="D29:K29" si="18">+D25/4</f>
        <v>0</v>
      </c>
      <c r="E29" s="16" t="e">
        <f t="shared" si="18"/>
        <v>#DIV/0!</v>
      </c>
      <c r="F29" s="16" t="e">
        <f t="shared" si="18"/>
        <v>#DIV/0!</v>
      </c>
      <c r="G29" s="16" t="e">
        <f t="shared" si="18"/>
        <v>#DIV/0!</v>
      </c>
      <c r="H29" s="16" t="e">
        <f t="shared" si="18"/>
        <v>#DIV/0!</v>
      </c>
      <c r="I29" s="16" t="e">
        <f t="shared" si="18"/>
        <v>#DIV/0!</v>
      </c>
      <c r="J29" s="16" t="e">
        <f t="shared" si="18"/>
        <v>#DIV/0!</v>
      </c>
      <c r="K29" s="16" t="e">
        <f t="shared" si="18"/>
        <v>#DIV/0!</v>
      </c>
    </row>
    <row r="30" spans="1:11" ht="15" thickBot="1" x14ac:dyDescent="0.35">
      <c r="K30" s="55"/>
    </row>
    <row r="31" spans="1:11" ht="15" thickBot="1" x14ac:dyDescent="0.35">
      <c r="A31" s="33" t="s">
        <v>21</v>
      </c>
      <c r="B31" s="37"/>
      <c r="J31" s="55"/>
    </row>
  </sheetData>
  <mergeCells count="2">
    <mergeCell ref="A1:B1"/>
    <mergeCell ref="A18:B18"/>
  </mergeCells>
  <phoneticPr fontId="6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47F4C-2C74-4FA9-A3EE-7CD14B3A6A87}">
  <dimension ref="B2:D15"/>
  <sheetViews>
    <sheetView workbookViewId="0">
      <selection activeCell="C21" sqref="C21"/>
    </sheetView>
  </sheetViews>
  <sheetFormatPr baseColWidth="10" defaultRowHeight="14.4" x14ac:dyDescent="0.3"/>
  <cols>
    <col min="2" max="2" width="4.77734375" bestFit="1" customWidth="1"/>
    <col min="3" max="3" width="29.77734375" bestFit="1" customWidth="1"/>
    <col min="4" max="4" width="51.77734375" bestFit="1" customWidth="1"/>
  </cols>
  <sheetData>
    <row r="2" spans="2:4" ht="15" thickBot="1" x14ac:dyDescent="0.35"/>
    <row r="3" spans="2:4" ht="15" thickBot="1" x14ac:dyDescent="0.35">
      <c r="C3" s="41" t="s">
        <v>23</v>
      </c>
      <c r="D3" s="42"/>
    </row>
    <row r="4" spans="2:4" ht="15" thickBot="1" x14ac:dyDescent="0.35">
      <c r="C4" s="43" t="s">
        <v>24</v>
      </c>
      <c r="D4" s="42"/>
    </row>
    <row r="5" spans="2:4" x14ac:dyDescent="0.3">
      <c r="B5" s="58" t="s">
        <v>25</v>
      </c>
      <c r="C5" s="44" t="s">
        <v>26</v>
      </c>
      <c r="D5" s="45"/>
    </row>
    <row r="6" spans="2:4" x14ac:dyDescent="0.3">
      <c r="B6" s="59"/>
      <c r="C6" s="46" t="s">
        <v>27</v>
      </c>
      <c r="D6" s="47"/>
    </row>
    <row r="7" spans="2:4" x14ac:dyDescent="0.3">
      <c r="B7" s="59"/>
      <c r="C7" s="46" t="s">
        <v>28</v>
      </c>
      <c r="D7" s="47"/>
    </row>
    <row r="8" spans="2:4" x14ac:dyDescent="0.3">
      <c r="B8" s="59"/>
      <c r="C8" s="46" t="s">
        <v>29</v>
      </c>
      <c r="D8" s="47"/>
    </row>
    <row r="9" spans="2:4" ht="15" thickBot="1" x14ac:dyDescent="0.35">
      <c r="B9" s="60"/>
      <c r="C9" s="48" t="s">
        <v>30</v>
      </c>
      <c r="D9" s="49"/>
    </row>
    <row r="10" spans="2:4" ht="38.549999999999997" customHeight="1" thickBot="1" x14ac:dyDescent="0.35">
      <c r="C10" s="50" t="s">
        <v>31</v>
      </c>
      <c r="D10" s="42"/>
    </row>
    <row r="11" spans="2:4" ht="15" thickBot="1" x14ac:dyDescent="0.35">
      <c r="C11" s="51" t="s">
        <v>32</v>
      </c>
      <c r="D11" s="52"/>
    </row>
    <row r="12" spans="2:4" ht="15" thickBot="1" x14ac:dyDescent="0.35">
      <c r="C12" s="51" t="s">
        <v>33</v>
      </c>
      <c r="D12" s="52"/>
    </row>
    <row r="13" spans="2:4" ht="15" thickBot="1" x14ac:dyDescent="0.35">
      <c r="C13" s="51" t="s">
        <v>34</v>
      </c>
      <c r="D13" s="53"/>
    </row>
    <row r="14" spans="2:4" ht="15" thickBot="1" x14ac:dyDescent="0.35">
      <c r="C14" s="51" t="s">
        <v>35</v>
      </c>
      <c r="D14" s="52"/>
    </row>
    <row r="15" spans="2:4" ht="15" thickBot="1" x14ac:dyDescent="0.35">
      <c r="C15" s="51" t="s">
        <v>36</v>
      </c>
      <c r="D15" s="42"/>
    </row>
  </sheetData>
  <mergeCells count="1">
    <mergeCell ref="B5:B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3AE24-8CD8-444B-ADA0-BE7D99CFE145}">
  <dimension ref="A1:L9"/>
  <sheetViews>
    <sheetView workbookViewId="0">
      <selection sqref="A1:B1"/>
    </sheetView>
  </sheetViews>
  <sheetFormatPr baseColWidth="10" defaultRowHeight="14.4" x14ac:dyDescent="0.3"/>
  <cols>
    <col min="1" max="1" width="27.5546875" bestFit="1" customWidth="1"/>
    <col min="2" max="2" width="13.77734375" customWidth="1"/>
    <col min="4" max="4" width="13.5546875" customWidth="1"/>
    <col min="5" max="5" width="13.77734375" customWidth="1"/>
    <col min="6" max="6" width="13.5546875" customWidth="1"/>
    <col min="7" max="7" width="14" customWidth="1"/>
  </cols>
  <sheetData>
    <row r="1" spans="1:12" ht="15" thickBot="1" x14ac:dyDescent="0.35">
      <c r="A1" s="61" t="s">
        <v>22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spans="1:12" x14ac:dyDescent="0.3">
      <c r="A2" s="1" t="s">
        <v>3</v>
      </c>
      <c r="B2" s="5" t="s">
        <v>4</v>
      </c>
      <c r="C2" s="14">
        <v>43941</v>
      </c>
      <c r="D2" s="5">
        <v>2021</v>
      </c>
      <c r="E2" s="6">
        <v>2022</v>
      </c>
      <c r="F2" s="5">
        <v>2023</v>
      </c>
      <c r="G2" s="6">
        <v>2024</v>
      </c>
      <c r="H2" s="5">
        <v>2025</v>
      </c>
      <c r="I2" s="6">
        <v>2026</v>
      </c>
      <c r="J2" s="5">
        <v>2027</v>
      </c>
      <c r="K2" s="6">
        <v>2028</v>
      </c>
      <c r="L2" s="14">
        <v>47227</v>
      </c>
    </row>
    <row r="3" spans="1:12" x14ac:dyDescent="0.3">
      <c r="A3" s="7" t="s">
        <v>5</v>
      </c>
      <c r="B3" s="8" t="s">
        <v>14</v>
      </c>
      <c r="C3" s="9"/>
      <c r="D3" s="3"/>
      <c r="E3" s="8"/>
      <c r="F3" s="8"/>
      <c r="G3" s="8"/>
      <c r="H3" s="8"/>
      <c r="I3" s="8"/>
      <c r="J3" s="8"/>
      <c r="K3" s="8"/>
      <c r="L3" s="8"/>
    </row>
    <row r="4" spans="1:12" x14ac:dyDescent="0.3">
      <c r="A4" s="2" t="s">
        <v>6</v>
      </c>
      <c r="B4" s="8" t="s">
        <v>14</v>
      </c>
      <c r="C4" s="8"/>
      <c r="D4" s="3"/>
      <c r="E4" s="8"/>
      <c r="F4" s="8"/>
      <c r="G4" s="8"/>
      <c r="H4" s="8"/>
      <c r="I4" s="8"/>
      <c r="J4" s="8"/>
      <c r="K4" s="8"/>
      <c r="L4" s="8"/>
    </row>
    <row r="5" spans="1:12" x14ac:dyDescent="0.3">
      <c r="A5" s="2" t="s">
        <v>7</v>
      </c>
      <c r="B5" s="8"/>
      <c r="C5" s="10"/>
      <c r="D5" s="8"/>
      <c r="E5" s="8"/>
      <c r="F5" s="8"/>
      <c r="G5" s="8"/>
      <c r="H5" s="8"/>
      <c r="I5" s="8"/>
      <c r="J5" s="8"/>
      <c r="K5" s="8"/>
      <c r="L5" s="8"/>
    </row>
    <row r="6" spans="1:12" ht="15" thickBot="1" x14ac:dyDescent="0.35">
      <c r="A6" s="4" t="s">
        <v>8</v>
      </c>
      <c r="B6" s="11"/>
      <c r="C6" s="11"/>
      <c r="D6" s="12"/>
      <c r="E6" s="11"/>
      <c r="F6" s="11"/>
      <c r="G6" s="11"/>
      <c r="H6" s="11"/>
      <c r="I6" s="11"/>
      <c r="J6" s="11"/>
      <c r="K6" s="11"/>
      <c r="L6" s="11"/>
    </row>
    <row r="9" spans="1:12" x14ac:dyDescent="0.3">
      <c r="D9" s="15"/>
    </row>
  </sheetData>
  <mergeCells count="1">
    <mergeCell ref="A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38B2-DB7A-4177-8D9E-228E1C45B800}">
  <dimension ref="A1:L6"/>
  <sheetViews>
    <sheetView workbookViewId="0">
      <selection sqref="A1:B1"/>
    </sheetView>
  </sheetViews>
  <sheetFormatPr baseColWidth="10" defaultRowHeight="14.4" x14ac:dyDescent="0.3"/>
  <cols>
    <col min="1" max="1" width="32.21875" bestFit="1" customWidth="1"/>
  </cols>
  <sheetData>
    <row r="1" spans="1:12" ht="15" thickBot="1" x14ac:dyDescent="0.35">
      <c r="A1" s="61" t="s">
        <v>22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spans="1:12" x14ac:dyDescent="0.3">
      <c r="A2" s="1" t="s">
        <v>9</v>
      </c>
      <c r="B2" s="5" t="s">
        <v>4</v>
      </c>
      <c r="C2" s="14">
        <v>43941</v>
      </c>
      <c r="D2" s="5">
        <v>2021</v>
      </c>
      <c r="E2" s="6">
        <v>2022</v>
      </c>
      <c r="F2" s="5">
        <v>2023</v>
      </c>
      <c r="G2" s="6">
        <v>2024</v>
      </c>
      <c r="H2" s="5">
        <v>2025</v>
      </c>
      <c r="I2" s="6">
        <v>2026</v>
      </c>
      <c r="J2" s="5">
        <v>2027</v>
      </c>
      <c r="K2" s="6">
        <v>2028</v>
      </c>
      <c r="L2" s="14">
        <v>47227</v>
      </c>
    </row>
    <row r="3" spans="1:12" x14ac:dyDescent="0.3">
      <c r="A3" s="2" t="s">
        <v>10</v>
      </c>
      <c r="B3" s="8" t="s">
        <v>14</v>
      </c>
      <c r="C3" s="9"/>
      <c r="D3" s="3"/>
      <c r="E3" s="8"/>
      <c r="F3" s="8"/>
      <c r="G3" s="8"/>
      <c r="H3" s="8"/>
      <c r="I3" s="8"/>
      <c r="J3" s="8"/>
      <c r="K3" s="8"/>
      <c r="L3" s="8"/>
    </row>
    <row r="4" spans="1:12" x14ac:dyDescent="0.3">
      <c r="A4" s="2" t="s">
        <v>11</v>
      </c>
      <c r="B4" s="8" t="s">
        <v>14</v>
      </c>
      <c r="C4" s="8"/>
      <c r="D4" s="3"/>
      <c r="E4" s="8"/>
      <c r="F4" s="8"/>
      <c r="G4" s="8"/>
      <c r="H4" s="8"/>
      <c r="I4" s="8"/>
      <c r="J4" s="8"/>
      <c r="K4" s="8"/>
      <c r="L4" s="8"/>
    </row>
    <row r="5" spans="1:12" x14ac:dyDescent="0.3">
      <c r="A5" s="2" t="s">
        <v>12</v>
      </c>
      <c r="B5" s="8" t="s">
        <v>14</v>
      </c>
      <c r="C5" s="10"/>
      <c r="D5" s="13"/>
      <c r="E5" s="8"/>
      <c r="F5" s="8"/>
      <c r="G5" s="8"/>
      <c r="H5" s="8"/>
      <c r="I5" s="8"/>
      <c r="J5" s="8"/>
      <c r="K5" s="8"/>
      <c r="L5" s="8"/>
    </row>
    <row r="6" spans="1:12" ht="15" thickBot="1" x14ac:dyDescent="0.35">
      <c r="A6" s="4" t="s">
        <v>13</v>
      </c>
      <c r="B6" s="11"/>
      <c r="C6" s="11"/>
      <c r="D6" s="12"/>
      <c r="E6" s="11"/>
      <c r="F6" s="11"/>
      <c r="G6" s="11"/>
      <c r="H6" s="11"/>
      <c r="I6" s="11"/>
      <c r="J6" s="11"/>
      <c r="K6" s="11"/>
      <c r="L6" s="11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BAIL</vt:lpstr>
      <vt:lpstr>INFOS POUR 6660-REV</vt:lpstr>
      <vt:lpstr>CHARGES</vt:lpstr>
      <vt:lpstr>TAXES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Sabine CHARBEL</dc:creator>
  <cp:lastModifiedBy>Ichiaka KONE</cp:lastModifiedBy>
  <dcterms:created xsi:type="dcterms:W3CDTF">2019-06-13T13:19:30Z</dcterms:created>
  <dcterms:modified xsi:type="dcterms:W3CDTF">2026-02-02T08:13:43Z</dcterms:modified>
</cp:coreProperties>
</file>