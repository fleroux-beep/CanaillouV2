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Drive partagés\05 - Finances - comptabilité\61-Baux\03 - BAUX OK\Bail LPC46 LPC CHATOU - SCI GENERAL ouverture 09-2024\Quittances\2025\"/>
    </mc:Choice>
  </mc:AlternateContent>
  <xr:revisionPtr revIDLastSave="0" documentId="8_{A5049920-0FE6-4556-B6A3-35A8338F840B}" xr6:coauthVersionLast="47" xr6:coauthVersionMax="47" xr10:uidLastSave="{00000000-0000-0000-0000-000000000000}"/>
  <bookViews>
    <workbookView xWindow="28680" yWindow="-120" windowWidth="29040" windowHeight="15720" xr2:uid="{1BE9D57A-CCAA-49F2-AB64-BE91D37B4ABC}"/>
  </bookViews>
  <sheets>
    <sheet name="CHATOU" sheetId="1" r:id="rId1"/>
    <sheet name="DENANT" sheetId="2" r:id="rId2"/>
    <sheet name="LE PLESSIS" sheetId="3" r:id="rId3"/>
  </sheets>
  <definedNames>
    <definedName name="_xlnm._FilterDatabase" localSheetId="0" hidden="1">CHATOU!$A$4:$N$11</definedName>
    <definedName name="_xlnm._FilterDatabase" localSheetId="1" hidden="1">DENANT!$A$4:$M$6</definedName>
    <definedName name="_xlnm._FilterDatabase" localSheetId="2" hidden="1">'LE PLESSIS'!$A$4:$N$5</definedName>
    <definedName name="Dasboard_Tramefond">"Rectangle 8,Rectangle 9,Rectangle 1,Image 3,Rectangle avec coin arrondi 5"</definedName>
    <definedName name="Dashboard_Tramefond">"Rectangle 8,Rectangle 9,Rectangle 1,Image 3,Rectangle avec coin arrondi 5"</definedName>
    <definedName name="DashboardxTramefond">"Rectangle 8,Rectangle 9,Rectangle 1,Image 3,Rectangle avec coin arrondi 5"</definedName>
    <definedName name="tramefond">"Rectangle 9,Rectangle 8,Rectangle 1,Rectangle avec coin arrondi 5,Image 3"</definedName>
    <definedName name="_xlnm.Print_Area" localSheetId="0">CHATOU!$A$20:$E$39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" i="1" l="1"/>
  <c r="C32" i="1"/>
  <c r="D31" i="2"/>
  <c r="C29" i="2"/>
  <c r="D31" i="1"/>
  <c r="C37" i="1" s="1"/>
  <c r="C38" i="1"/>
  <c r="C30" i="1"/>
  <c r="D30" i="1"/>
  <c r="C31" i="1"/>
  <c r="B30" i="1"/>
  <c r="D24" i="1" l="1"/>
  <c r="C24" i="1"/>
  <c r="C30" i="2" s="1"/>
  <c r="B24" i="3"/>
  <c r="D24" i="3" s="1"/>
  <c r="C24" i="3"/>
  <c r="D23" i="3"/>
  <c r="I19" i="3"/>
  <c r="I6" i="3"/>
  <c r="I21" i="3" s="1"/>
  <c r="I29" i="1"/>
  <c r="I27" i="2"/>
  <c r="I13" i="2"/>
  <c r="I31" i="2" s="1"/>
  <c r="I12" i="1"/>
  <c r="D37" i="1" l="1"/>
  <c r="D30" i="2"/>
  <c r="D29" i="2"/>
  <c r="D38" i="1"/>
  <c r="D25" i="3"/>
  <c r="I31" i="1"/>
  <c r="D39" i="1" l="1"/>
</calcChain>
</file>

<file path=xl/sharedStrings.xml><?xml version="1.0" encoding="utf-8"?>
<sst xmlns="http://schemas.openxmlformats.org/spreadsheetml/2006/main" count="145" uniqueCount="52">
  <si>
    <t xml:space="preserve">CHARGES 2023+2024 </t>
  </si>
  <si>
    <t xml:space="preserve">PROVISIONS 2023+2024 </t>
  </si>
  <si>
    <t>Société - Code</t>
  </si>
  <si>
    <t>Etablissement Général - Code</t>
  </si>
  <si>
    <t>Ecriture Générale - Date</t>
  </si>
  <si>
    <t>Compte Général - Code</t>
  </si>
  <si>
    <t>Pièce Générale - Libellé</t>
  </si>
  <si>
    <t>Ecriture Générale - Libellé</t>
  </si>
  <si>
    <t>Débit Tenue de Compte</t>
  </si>
  <si>
    <t>Crédit Tenue de Compte</t>
  </si>
  <si>
    <t>Solde Tenue de Compte</t>
  </si>
  <si>
    <t>Ecriture Générale - Sens</t>
  </si>
  <si>
    <t>Sections Analytiques - Code</t>
  </si>
  <si>
    <t>Pièce Générale - Référence Externe</t>
  </si>
  <si>
    <t>Tiers - Code</t>
  </si>
  <si>
    <t>Journal - Code</t>
  </si>
  <si>
    <t>Affaire - Code</t>
  </si>
  <si>
    <t>Date Début Période</t>
  </si>
  <si>
    <t>Date Fin Période</t>
  </si>
  <si>
    <t>NumeroDest_Extourne</t>
  </si>
  <si>
    <t>NumeroOri_Extourne</t>
  </si>
  <si>
    <t>Numero_YOOZ</t>
  </si>
  <si>
    <t>urlScanPiece</t>
  </si>
  <si>
    <t>Pièce Générale - Numéro</t>
  </si>
  <si>
    <t>Période - Année</t>
  </si>
  <si>
    <t>Ecriture Générale - Type</t>
  </si>
  <si>
    <t>FAE OU AAE</t>
  </si>
  <si>
    <t>FRANCHISE AVANT 01/04/24</t>
  </si>
  <si>
    <t>REFACT EN COURS</t>
  </si>
  <si>
    <t>CHAGRES REEL</t>
  </si>
  <si>
    <t>ECART</t>
  </si>
  <si>
    <t>COPRO 24</t>
  </si>
  <si>
    <t>TF</t>
  </si>
  <si>
    <t>FRANCHISE AVANT 01/09/24</t>
  </si>
  <si>
    <t>OK</t>
  </si>
  <si>
    <t>CHATOU - 32 AV DE BRIMONT - 78400</t>
  </si>
  <si>
    <t>M. DENANT (Podologue)</t>
  </si>
  <si>
    <t>LPC YVELINES</t>
  </si>
  <si>
    <t>m² selon baux</t>
  </si>
  <si>
    <t>26m² avant</t>
  </si>
  <si>
    <t>33m² après</t>
  </si>
  <si>
    <t>258,70m² (hors jardin)</t>
  </si>
  <si>
    <t>Total</t>
  </si>
  <si>
    <t>QP Denant</t>
  </si>
  <si>
    <t>QP LPC</t>
  </si>
  <si>
    <t>*Avant application franchise</t>
  </si>
  <si>
    <t>AAE</t>
  </si>
  <si>
    <t>FAE</t>
  </si>
  <si>
    <t>COPRO 24 + ascenseur</t>
  </si>
  <si>
    <t xml:space="preserve">COPRO 24 </t>
  </si>
  <si>
    <t>Ascensur Otis</t>
  </si>
  <si>
    <t>Selon base lot M. Denant 12/1000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</si>
</sst>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rgb="FFFF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FF0000"/>
      <name val="Aptos Narrow"/>
      <scheme val="minor"/>
    </font>
    <font>
      <b/>
      <u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4" fillId="0" borderId="0"/>
  </cellStyleXfs>
  <cellXfs count="41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2" borderId="0" xfId="0" applyFont="1" applyFill="1"/>
    <xf numFmtId="14" fontId="2" fillId="0" borderId="0" xfId="0" applyNumberFormat="1" applyFont="1"/>
    <xf numFmtId="0" fontId="1" fillId="3" borderId="0" xfId="0" applyFont="1" applyFill="1"/>
    <xf numFmtId="0" fontId="3" fillId="3" borderId="0" xfId="0" applyFont="1" applyFill="1"/>
    <xf numFmtId="0" fontId="6" fillId="0" borderId="0" xfId="0" applyFont="1"/>
    <xf numFmtId="0" fontId="0" fillId="0" borderId="4" xfId="0" applyBorder="1"/>
    <xf numFmtId="0" fontId="7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2" fontId="0" fillId="0" borderId="4" xfId="0" applyNumberFormat="1" applyBorder="1"/>
    <xf numFmtId="0" fontId="0" fillId="2" borderId="4" xfId="0" applyFill="1" applyBorder="1"/>
    <xf numFmtId="0" fontId="10" fillId="0" borderId="5" xfId="2" applyFont="1" applyBorder="1"/>
    <xf numFmtId="0" fontId="4" fillId="0" borderId="6" xfId="2" applyBorder="1"/>
    <xf numFmtId="0" fontId="4" fillId="0" borderId="6" xfId="2" applyBorder="1" applyAlignment="1">
      <alignment horizontal="center"/>
    </xf>
    <xf numFmtId="0" fontId="8" fillId="0" borderId="7" xfId="2" applyFont="1" applyBorder="1"/>
    <xf numFmtId="0" fontId="9" fillId="0" borderId="8" xfId="2" applyFont="1" applyBorder="1"/>
    <xf numFmtId="0" fontId="4" fillId="0" borderId="11" xfId="2" applyBorder="1"/>
    <xf numFmtId="10" fontId="4" fillId="0" borderId="6" xfId="1" applyNumberFormat="1" applyBorder="1" applyAlignment="1">
      <alignment horizontal="center"/>
    </xf>
    <xf numFmtId="10" fontId="4" fillId="0" borderId="12" xfId="1" applyNumberFormat="1" applyBorder="1" applyAlignment="1">
      <alignment horizontal="center"/>
    </xf>
    <xf numFmtId="0" fontId="0" fillId="2" borderId="0" xfId="0" applyFill="1"/>
    <xf numFmtId="0" fontId="0" fillId="0" borderId="15" xfId="0" applyBorder="1"/>
    <xf numFmtId="0" fontId="2" fillId="0" borderId="4" xfId="0" applyFont="1" applyBorder="1"/>
    <xf numFmtId="1" fontId="0" fillId="0" borderId="4" xfId="0" applyNumberFormat="1" applyBorder="1"/>
    <xf numFmtId="1" fontId="7" fillId="0" borderId="4" xfId="0" applyNumberFormat="1" applyFont="1" applyBorder="1" applyAlignment="1">
      <alignment horizontal="center" vertical="center"/>
    </xf>
    <xf numFmtId="0" fontId="2" fillId="4" borderId="4" xfId="0" applyFont="1" applyFill="1" applyBorder="1"/>
    <xf numFmtId="1" fontId="7" fillId="2" borderId="4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/>
    <xf numFmtId="1" fontId="0" fillId="4" borderId="4" xfId="0" applyNumberFormat="1" applyFill="1" applyBorder="1"/>
    <xf numFmtId="0" fontId="4" fillId="3" borderId="15" xfId="2" applyFill="1" applyBorder="1"/>
    <xf numFmtId="0" fontId="10" fillId="3" borderId="16" xfId="2" applyFont="1" applyFill="1" applyBorder="1"/>
    <xf numFmtId="10" fontId="4" fillId="3" borderId="17" xfId="1" applyNumberFormat="1" applyFill="1" applyBorder="1" applyAlignment="1">
      <alignment horizontal="center"/>
    </xf>
    <xf numFmtId="10" fontId="4" fillId="3" borderId="18" xfId="1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9" xfId="2" applyFont="1" applyBorder="1" applyAlignment="1">
      <alignment horizontal="center"/>
    </xf>
    <xf numFmtId="0" fontId="5" fillId="0" borderId="10" xfId="2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3">
    <cellStyle name="Normal" xfId="0" builtinId="0"/>
    <cellStyle name="Normal 6" xfId="2" xr:uid="{DBD6836D-36ED-4970-88E8-668E3332755F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0</xdr:rowOff>
    </xdr:from>
    <xdr:to>
      <xdr:col>4</xdr:col>
      <xdr:colOff>2382371</xdr:colOff>
      <xdr:row>56</xdr:row>
      <xdr:rowOff>146080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9CCD6D5-78D2-421F-97A8-24F834766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4588"/>
          <a:ext cx="7772400" cy="4090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8F0D7-05FD-44A4-8464-FCDA0E74FE3F}">
  <sheetPr>
    <tabColor rgb="FFFFC000"/>
    <pageSetUpPr fitToPage="1"/>
  </sheetPr>
  <dimension ref="A1:X39"/>
  <sheetViews>
    <sheetView tabSelected="1" view="pageBreakPreview" zoomScale="60" zoomScaleNormal="85" workbookViewId="0">
      <selection activeCell="A20" sqref="A20:E39"/>
    </sheetView>
  </sheetViews>
  <sheetFormatPr baseColWidth="10" defaultRowHeight="14.4" x14ac:dyDescent="0.3"/>
  <cols>
    <col min="1" max="1" width="20.44140625" bestFit="1" customWidth="1"/>
    <col min="2" max="2" width="21.44140625" customWidth="1"/>
    <col min="3" max="3" width="20.33203125" bestFit="1" customWidth="1"/>
    <col min="4" max="4" width="23.109375" bestFit="1" customWidth="1"/>
    <col min="5" max="6" width="59.88671875" bestFit="1" customWidth="1"/>
    <col min="7" max="7" width="23.44140625" bestFit="1" customWidth="1"/>
    <col min="8" max="8" width="24.109375" bestFit="1" customWidth="1"/>
    <col min="9" max="10" width="23.77734375" bestFit="1" customWidth="1"/>
    <col min="11" max="11" width="27" bestFit="1" customWidth="1"/>
    <col min="12" max="12" width="33.88671875" bestFit="1" customWidth="1"/>
    <col min="13" max="13" width="13.109375" bestFit="1" customWidth="1"/>
  </cols>
  <sheetData>
    <row r="1" spans="1:24" ht="15" thickBot="1" x14ac:dyDescent="0.35"/>
    <row r="2" spans="1:24" ht="15" thickBot="1" x14ac:dyDescent="0.35">
      <c r="A2" s="34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</row>
    <row r="4" spans="1:24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</row>
    <row r="5" spans="1:24" x14ac:dyDescent="0.3">
      <c r="A5" s="2"/>
      <c r="B5" s="2"/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4"/>
      <c r="Q5" s="4"/>
      <c r="R5" s="2"/>
      <c r="S5" s="2"/>
      <c r="T5" s="2"/>
      <c r="U5" s="2"/>
      <c r="V5" s="2"/>
      <c r="W5" s="2"/>
      <c r="X5" s="2"/>
    </row>
    <row r="6" spans="1:24" x14ac:dyDescent="0.3">
      <c r="A6" s="2"/>
      <c r="B6" s="2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4"/>
      <c r="Q6" s="4"/>
      <c r="R6" s="2"/>
      <c r="S6" s="2"/>
      <c r="T6" s="2"/>
      <c r="U6" s="2"/>
      <c r="V6" s="2"/>
      <c r="W6" s="2"/>
      <c r="X6" s="2"/>
    </row>
    <row r="7" spans="1:24" x14ac:dyDescent="0.3">
      <c r="A7" s="2"/>
      <c r="B7" s="2"/>
      <c r="C7" s="4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4"/>
      <c r="Q7" s="4"/>
      <c r="R7" s="2"/>
      <c r="S7" s="2"/>
      <c r="T7" s="2"/>
      <c r="U7" s="2"/>
      <c r="V7" s="2"/>
      <c r="W7" s="2"/>
      <c r="X7" s="2"/>
    </row>
    <row r="8" spans="1:24" x14ac:dyDescent="0.3">
      <c r="A8" s="2"/>
      <c r="B8" s="2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4"/>
      <c r="Q8" s="4"/>
      <c r="R8" s="2"/>
      <c r="S8" s="2"/>
      <c r="T8" s="2"/>
      <c r="U8" s="2"/>
      <c r="V8" s="2"/>
      <c r="W8" s="2"/>
      <c r="X8" s="2"/>
    </row>
    <row r="9" spans="1:24" x14ac:dyDescent="0.3">
      <c r="A9" s="2"/>
      <c r="B9" s="2"/>
      <c r="C9" s="4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4"/>
      <c r="Q9" s="4"/>
      <c r="R9" s="2"/>
      <c r="S9" s="2"/>
      <c r="T9" s="2"/>
      <c r="U9" s="2"/>
      <c r="V9" s="2"/>
      <c r="W9" s="2"/>
      <c r="X9" s="2"/>
    </row>
    <row r="10" spans="1:24" x14ac:dyDescent="0.3">
      <c r="A10" s="2"/>
      <c r="B10" s="2"/>
      <c r="C10" s="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4"/>
      <c r="Q10" s="4"/>
      <c r="R10" s="2"/>
      <c r="S10" s="2"/>
      <c r="T10" s="2"/>
      <c r="U10" s="2"/>
      <c r="V10" s="2"/>
      <c r="W10" s="2"/>
      <c r="X10" s="2"/>
    </row>
    <row r="11" spans="1:24" x14ac:dyDescent="0.3">
      <c r="F11" s="1"/>
    </row>
    <row r="12" spans="1:24" x14ac:dyDescent="0.3">
      <c r="A12" s="2"/>
      <c r="B12" s="2"/>
      <c r="C12" s="2"/>
      <c r="D12" s="2"/>
      <c r="E12" s="2"/>
      <c r="F12" s="2"/>
      <c r="G12" s="2"/>
      <c r="H12" s="2"/>
      <c r="I12" s="3">
        <f>SUM(I5:I11)</f>
        <v>0</v>
      </c>
      <c r="J12" s="2"/>
      <c r="K12" s="2"/>
      <c r="L12" s="2"/>
      <c r="M12" s="2"/>
    </row>
    <row r="13" spans="1:24" ht="15" thickBo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24" ht="15" thickBot="1" x14ac:dyDescent="0.35">
      <c r="A14" s="34" t="s">
        <v>1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6"/>
    </row>
    <row r="15" spans="1:2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24" x14ac:dyDescent="0.3">
      <c r="A16" s="2" t="s">
        <v>2</v>
      </c>
      <c r="B16" s="2" t="s">
        <v>3</v>
      </c>
      <c r="C16" s="2" t="s">
        <v>4</v>
      </c>
      <c r="D16" s="2" t="s">
        <v>5</v>
      </c>
      <c r="E16" s="2" t="s">
        <v>6</v>
      </c>
      <c r="F16" s="2" t="s">
        <v>7</v>
      </c>
      <c r="G16" s="2" t="s">
        <v>8</v>
      </c>
      <c r="H16" s="2" t="s">
        <v>9</v>
      </c>
      <c r="I16" s="2" t="s">
        <v>10</v>
      </c>
      <c r="J16" s="2" t="s">
        <v>11</v>
      </c>
      <c r="K16" s="2" t="s">
        <v>12</v>
      </c>
      <c r="L16" s="2" t="s">
        <v>13</v>
      </c>
      <c r="M16" s="2" t="s">
        <v>14</v>
      </c>
      <c r="N16" s="2" t="s">
        <v>15</v>
      </c>
      <c r="O16" s="2" t="s">
        <v>16</v>
      </c>
      <c r="P16" s="2" t="s">
        <v>17</v>
      </c>
      <c r="Q16" s="2" t="s">
        <v>18</v>
      </c>
      <c r="R16" s="2" t="s">
        <v>19</v>
      </c>
      <c r="S16" s="2" t="s">
        <v>20</v>
      </c>
      <c r="T16" s="2" t="s">
        <v>21</v>
      </c>
      <c r="U16" s="2" t="s">
        <v>22</v>
      </c>
      <c r="V16" s="2" t="s">
        <v>23</v>
      </c>
      <c r="W16" s="2" t="s">
        <v>24</v>
      </c>
      <c r="X16" s="2" t="s">
        <v>25</v>
      </c>
    </row>
    <row r="17" spans="1:24" x14ac:dyDescent="0.3">
      <c r="A17" s="2"/>
      <c r="B17" s="2"/>
      <c r="C17" s="4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4"/>
      <c r="Q17" s="4"/>
      <c r="R17" s="2"/>
      <c r="S17" s="2"/>
      <c r="T17" s="2"/>
      <c r="U17" s="2"/>
      <c r="V17" s="2"/>
      <c r="W17" s="2"/>
      <c r="X17" s="2"/>
    </row>
    <row r="18" spans="1:24" x14ac:dyDescent="0.3">
      <c r="A18" s="2"/>
      <c r="B18" s="2"/>
      <c r="C18" s="4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4"/>
      <c r="Q18" s="4"/>
      <c r="R18" s="2"/>
      <c r="S18" s="2"/>
      <c r="T18" s="2"/>
      <c r="U18" s="2"/>
      <c r="V18" s="2"/>
      <c r="W18" s="2"/>
      <c r="X18" s="2"/>
    </row>
    <row r="19" spans="1:24" x14ac:dyDescent="0.3">
      <c r="A19" s="2"/>
      <c r="B19" s="2"/>
      <c r="C19" s="4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4"/>
      <c r="Q19" s="4"/>
      <c r="R19" s="2"/>
      <c r="S19" s="2"/>
      <c r="T19" s="2"/>
      <c r="U19" s="2"/>
      <c r="V19" s="2"/>
      <c r="W19" s="2"/>
      <c r="X19" s="2"/>
    </row>
    <row r="20" spans="1:24" x14ac:dyDescent="0.3">
      <c r="A20" s="2"/>
      <c r="B20" s="2"/>
      <c r="C20" s="4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4"/>
      <c r="Q20" s="4"/>
      <c r="R20" s="2"/>
      <c r="S20" s="2"/>
      <c r="T20" s="2"/>
      <c r="U20" s="2"/>
      <c r="V20" s="2"/>
      <c r="W20" s="2"/>
      <c r="X20" s="2"/>
    </row>
    <row r="21" spans="1:24" ht="15" thickBot="1" x14ac:dyDescent="0.35">
      <c r="A21" s="2"/>
      <c r="B21" s="2"/>
      <c r="C21" s="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4"/>
      <c r="Q21" s="4"/>
      <c r="R21" s="2"/>
      <c r="S21" s="2"/>
      <c r="T21" s="2"/>
      <c r="U21" s="2"/>
      <c r="V21" s="2"/>
      <c r="W21" s="2"/>
      <c r="X21" s="2"/>
    </row>
    <row r="22" spans="1:24" ht="15" thickBot="1" x14ac:dyDescent="0.35">
      <c r="A22" s="16"/>
      <c r="B22" s="17"/>
      <c r="C22" s="37" t="s">
        <v>35</v>
      </c>
      <c r="D22" s="38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4"/>
      <c r="Q22" s="4"/>
      <c r="R22" s="2"/>
      <c r="S22" s="2"/>
      <c r="T22" s="2"/>
      <c r="U22" s="2"/>
      <c r="V22" s="2"/>
      <c r="W22" s="2"/>
      <c r="X22" s="2"/>
    </row>
    <row r="23" spans="1:24" ht="15" thickBot="1" x14ac:dyDescent="0.35">
      <c r="A23" s="18"/>
      <c r="B23" s="13"/>
      <c r="C23" s="14" t="s">
        <v>36</v>
      </c>
      <c r="D23" s="15" t="s">
        <v>37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4"/>
      <c r="Q23" s="4"/>
      <c r="R23" s="2"/>
      <c r="S23" s="2"/>
      <c r="T23" s="2"/>
      <c r="U23" s="2"/>
      <c r="V23" s="2"/>
      <c r="W23" s="2"/>
      <c r="X23" s="2"/>
    </row>
    <row r="24" spans="1:24" ht="15" thickBot="1" x14ac:dyDescent="0.35">
      <c r="A24" s="18" t="s">
        <v>38</v>
      </c>
      <c r="B24" s="13"/>
      <c r="C24" s="19">
        <f>33/(33+258.7)</f>
        <v>0.11312992800822763</v>
      </c>
      <c r="D24" s="20">
        <f>258.7/(33+258.7)</f>
        <v>0.88687007199177237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4"/>
      <c r="Q24" s="4"/>
      <c r="R24" s="2"/>
      <c r="S24" s="2"/>
      <c r="T24" s="2"/>
      <c r="U24" s="2"/>
      <c r="V24" s="2"/>
      <c r="W24" s="2"/>
      <c r="X24" s="2"/>
    </row>
    <row r="25" spans="1:24" x14ac:dyDescent="0.3">
      <c r="A25" s="2"/>
      <c r="B25" s="2"/>
      <c r="C25" s="4" t="s">
        <v>39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4"/>
      <c r="Q25" s="4"/>
      <c r="R25" s="2"/>
      <c r="S25" s="2"/>
      <c r="T25" s="2"/>
      <c r="U25" s="2"/>
      <c r="V25" s="2"/>
      <c r="W25" s="2"/>
      <c r="X25" s="2"/>
    </row>
    <row r="26" spans="1:24" x14ac:dyDescent="0.3">
      <c r="A26" s="2"/>
      <c r="B26" s="2"/>
      <c r="C26" s="4" t="s">
        <v>40</v>
      </c>
      <c r="D26" s="2" t="s">
        <v>41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4"/>
      <c r="Q26" s="4"/>
      <c r="R26" s="2"/>
      <c r="S26" s="2"/>
      <c r="T26" s="2"/>
      <c r="U26" s="2"/>
      <c r="V26" s="2"/>
      <c r="W26" s="2"/>
      <c r="X26" s="2"/>
    </row>
    <row r="27" spans="1:24" x14ac:dyDescent="0.3">
      <c r="A27" s="30" t="s">
        <v>51</v>
      </c>
      <c r="B27" s="31"/>
      <c r="C27" s="32">
        <v>0.123</v>
      </c>
      <c r="D27" s="33">
        <v>0.877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4"/>
      <c r="Q27" s="4"/>
      <c r="R27" s="2"/>
      <c r="S27" s="2"/>
      <c r="T27" s="2"/>
      <c r="U27" s="2"/>
      <c r="V27" s="2"/>
      <c r="W27" s="2"/>
      <c r="X27" s="2"/>
    </row>
    <row r="29" spans="1:24" x14ac:dyDescent="0.3">
      <c r="A29" s="2"/>
      <c r="B29" s="23" t="s">
        <v>42</v>
      </c>
      <c r="C29" s="26" t="s">
        <v>43</v>
      </c>
      <c r="D29" s="26" t="s">
        <v>44</v>
      </c>
      <c r="E29" s="2"/>
      <c r="I29" s="3">
        <f>SUM(I17:I28)</f>
        <v>0</v>
      </c>
    </row>
    <row r="30" spans="1:24" x14ac:dyDescent="0.3">
      <c r="A30" s="22" t="s">
        <v>49</v>
      </c>
      <c r="B30" s="8">
        <f>8276.94</f>
        <v>8276.94</v>
      </c>
      <c r="C30" s="29">
        <f>+C27*B30</f>
        <v>1018.06362</v>
      </c>
      <c r="D30" s="29">
        <f>+D27*B30</f>
        <v>7258.8763800000006</v>
      </c>
      <c r="E30" t="s">
        <v>45</v>
      </c>
    </row>
    <row r="31" spans="1:24" x14ac:dyDescent="0.3">
      <c r="A31" s="22" t="s">
        <v>50</v>
      </c>
      <c r="B31" s="8">
        <v>3380.44</v>
      </c>
      <c r="C31" s="29">
        <f>+C27*B31</f>
        <v>415.79412000000002</v>
      </c>
      <c r="D31" s="29">
        <f>+D27*B31</f>
        <v>2964.64588</v>
      </c>
      <c r="E31" t="s">
        <v>45</v>
      </c>
      <c r="H31" s="5" t="s">
        <v>26</v>
      </c>
      <c r="I31" s="6">
        <f>I12+I29</f>
        <v>0</v>
      </c>
    </row>
    <row r="32" spans="1:24" x14ac:dyDescent="0.3">
      <c r="A32" s="22" t="s">
        <v>32</v>
      </c>
      <c r="B32" s="8">
        <v>8856</v>
      </c>
      <c r="C32" s="29">
        <f>+C27*B32</f>
        <v>1089.288</v>
      </c>
      <c r="D32" s="29">
        <f>+D27*B32</f>
        <v>7766.7120000000004</v>
      </c>
      <c r="E32" t="s">
        <v>45</v>
      </c>
    </row>
    <row r="33" spans="1:5" x14ac:dyDescent="0.3">
      <c r="A33" s="7" t="s">
        <v>37</v>
      </c>
    </row>
    <row r="34" spans="1:5" x14ac:dyDescent="0.3">
      <c r="A34" s="7" t="s">
        <v>33</v>
      </c>
    </row>
    <row r="35" spans="1:5" x14ac:dyDescent="0.3">
      <c r="A35" s="8"/>
      <c r="B35" s="8"/>
      <c r="C35" s="8"/>
      <c r="D35" s="8"/>
    </row>
    <row r="36" spans="1:5" x14ac:dyDescent="0.3">
      <c r="A36" s="8"/>
      <c r="B36" s="8" t="s">
        <v>28</v>
      </c>
      <c r="C36" s="8" t="s">
        <v>29</v>
      </c>
      <c r="D36" s="9" t="s">
        <v>30</v>
      </c>
    </row>
    <row r="37" spans="1:5" x14ac:dyDescent="0.3">
      <c r="A37" s="8" t="s">
        <v>31</v>
      </c>
      <c r="B37" s="8">
        <v>2800</v>
      </c>
      <c r="C37" s="24">
        <f>+(D30+D31)/12*4</f>
        <v>3407.8407533333339</v>
      </c>
      <c r="D37" s="27">
        <f>+B37-C37</f>
        <v>-607.84075333333385</v>
      </c>
      <c r="E37" s="21" t="s">
        <v>47</v>
      </c>
    </row>
    <row r="38" spans="1:5" x14ac:dyDescent="0.3">
      <c r="A38" s="8" t="s">
        <v>32</v>
      </c>
      <c r="B38" s="8">
        <v>2952</v>
      </c>
      <c r="C38" s="24">
        <f>+D32/12*4</f>
        <v>2588.904</v>
      </c>
      <c r="D38" s="27">
        <f>+B38-C38</f>
        <v>363.096</v>
      </c>
      <c r="E38" s="21" t="s">
        <v>46</v>
      </c>
    </row>
    <row r="39" spans="1:5" x14ac:dyDescent="0.3">
      <c r="A39" s="8"/>
      <c r="B39" s="8"/>
      <c r="C39" s="8"/>
      <c r="D39" s="24">
        <f>+D38+D37</f>
        <v>-244.74475333333385</v>
      </c>
    </row>
  </sheetData>
  <mergeCells count="3">
    <mergeCell ref="A2:M2"/>
    <mergeCell ref="A14:M14"/>
    <mergeCell ref="C22:D22"/>
  </mergeCells>
  <pageMargins left="0.7" right="0.7" top="0.75" bottom="0.75" header="0.3" footer="0.3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CBD78-5124-444A-9CD3-FEB87F20CB3A}">
  <sheetPr>
    <tabColor rgb="FFFFC000"/>
  </sheetPr>
  <dimension ref="A1:X31"/>
  <sheetViews>
    <sheetView zoomScale="85" zoomScaleNormal="85" workbookViewId="0">
      <selection activeCell="C30" sqref="C30"/>
    </sheetView>
  </sheetViews>
  <sheetFormatPr baseColWidth="10" defaultRowHeight="14.4" x14ac:dyDescent="0.3"/>
  <cols>
    <col min="1" max="1" width="25.88671875" bestFit="1" customWidth="1"/>
    <col min="3" max="3" width="22.77734375" bestFit="1" customWidth="1"/>
    <col min="5" max="5" width="69.109375" customWidth="1"/>
    <col min="6" max="6" width="72.44140625" customWidth="1"/>
    <col min="7" max="7" width="24.6640625" bestFit="1" customWidth="1"/>
    <col min="8" max="8" width="24.88671875" bestFit="1" customWidth="1"/>
  </cols>
  <sheetData>
    <row r="1" spans="1:24" ht="15" thickBot="1" x14ac:dyDescent="0.35"/>
    <row r="2" spans="1:24" ht="15" thickBot="1" x14ac:dyDescent="0.35">
      <c r="A2" s="34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</row>
    <row r="4" spans="1:24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</row>
    <row r="5" spans="1:24" x14ac:dyDescent="0.3">
      <c r="A5" s="2"/>
      <c r="B5" s="2"/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4"/>
      <c r="Q5" s="4"/>
      <c r="R5" s="2"/>
      <c r="S5" s="2"/>
      <c r="T5" s="2"/>
      <c r="U5" s="2"/>
      <c r="V5" s="2"/>
      <c r="W5" s="2"/>
      <c r="X5" s="2"/>
    </row>
    <row r="6" spans="1:24" x14ac:dyDescent="0.3">
      <c r="A6" s="2"/>
      <c r="B6" s="2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4"/>
      <c r="Q6" s="4"/>
      <c r="R6" s="2"/>
      <c r="S6" s="2"/>
      <c r="T6" s="2"/>
      <c r="U6" s="2"/>
      <c r="V6" s="2"/>
      <c r="W6" s="2"/>
      <c r="X6" s="2"/>
    </row>
    <row r="7" spans="1:24" x14ac:dyDescent="0.3">
      <c r="A7" s="2"/>
      <c r="B7" s="2"/>
      <c r="C7" s="4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4"/>
      <c r="Q7" s="4"/>
      <c r="R7" s="2"/>
      <c r="S7" s="2"/>
      <c r="T7" s="2"/>
      <c r="U7" s="2"/>
      <c r="V7" s="2"/>
      <c r="W7" s="2"/>
      <c r="X7" s="2"/>
    </row>
    <row r="8" spans="1:24" x14ac:dyDescent="0.3">
      <c r="A8" s="2"/>
      <c r="B8" s="2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4"/>
      <c r="Q8" s="4"/>
      <c r="R8" s="2"/>
      <c r="S8" s="2"/>
      <c r="T8" s="2"/>
      <c r="U8" s="2"/>
      <c r="V8" s="2"/>
      <c r="W8" s="2"/>
      <c r="X8" s="2"/>
    </row>
    <row r="9" spans="1:24" x14ac:dyDescent="0.3">
      <c r="A9" s="2"/>
      <c r="B9" s="2"/>
      <c r="C9" s="4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4"/>
      <c r="Q9" s="4"/>
      <c r="R9" s="2"/>
      <c r="S9" s="2"/>
      <c r="T9" s="2"/>
      <c r="U9" s="2"/>
      <c r="V9" s="2"/>
      <c r="W9" s="2"/>
      <c r="X9" s="2"/>
    </row>
    <row r="10" spans="1:24" x14ac:dyDescent="0.3">
      <c r="A10" s="2"/>
      <c r="B10" s="2"/>
      <c r="C10" s="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4"/>
      <c r="Q10" s="4"/>
      <c r="R10" s="2"/>
      <c r="S10" s="2"/>
      <c r="T10" s="2"/>
      <c r="U10" s="2"/>
      <c r="V10" s="2"/>
      <c r="W10" s="2"/>
      <c r="X10" s="2"/>
    </row>
    <row r="11" spans="1:24" x14ac:dyDescent="0.3">
      <c r="A11" s="2"/>
      <c r="B11" s="2"/>
      <c r="C11" s="4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4"/>
      <c r="Q11" s="4"/>
      <c r="R11" s="2"/>
      <c r="S11" s="2"/>
      <c r="T11" s="2"/>
      <c r="U11" s="2"/>
      <c r="V11" s="2"/>
      <c r="W11" s="2"/>
      <c r="X11" s="2"/>
    </row>
    <row r="13" spans="1:24" x14ac:dyDescent="0.3">
      <c r="A13" s="2"/>
      <c r="B13" s="2"/>
      <c r="C13" s="2"/>
      <c r="D13" s="2"/>
      <c r="E13" s="2"/>
      <c r="F13" s="2"/>
      <c r="G13" s="2"/>
      <c r="H13" s="2"/>
      <c r="I13" s="3">
        <f>SUM(I5:I12)</f>
        <v>0</v>
      </c>
      <c r="J13" s="2"/>
      <c r="K13" s="2"/>
      <c r="L13" s="2"/>
      <c r="M13" s="2"/>
    </row>
    <row r="14" spans="1:24" ht="15" thickBo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24" ht="15" thickBot="1" x14ac:dyDescent="0.35">
      <c r="A15" s="34" t="s">
        <v>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6"/>
    </row>
    <row r="16" spans="1:2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24" x14ac:dyDescent="0.3">
      <c r="A17" s="2" t="s">
        <v>2</v>
      </c>
      <c r="B17" s="2" t="s">
        <v>3</v>
      </c>
      <c r="C17" s="2" t="s">
        <v>4</v>
      </c>
      <c r="D17" s="2" t="s">
        <v>5</v>
      </c>
      <c r="E17" s="2" t="s">
        <v>6</v>
      </c>
      <c r="F17" s="2" t="s">
        <v>7</v>
      </c>
      <c r="G17" s="2" t="s">
        <v>8</v>
      </c>
      <c r="H17" s="2" t="s">
        <v>9</v>
      </c>
      <c r="I17" s="2" t="s">
        <v>10</v>
      </c>
      <c r="J17" s="2" t="s">
        <v>11</v>
      </c>
      <c r="K17" s="2" t="s">
        <v>12</v>
      </c>
      <c r="L17" s="2" t="s">
        <v>13</v>
      </c>
      <c r="M17" s="2" t="s">
        <v>14</v>
      </c>
      <c r="N17" s="2" t="s">
        <v>15</v>
      </c>
      <c r="O17" s="2" t="s">
        <v>16</v>
      </c>
      <c r="P17" s="2" t="s">
        <v>17</v>
      </c>
      <c r="Q17" s="2" t="s">
        <v>18</v>
      </c>
      <c r="R17" s="2" t="s">
        <v>19</v>
      </c>
      <c r="S17" s="2" t="s">
        <v>20</v>
      </c>
      <c r="T17" s="2" t="s">
        <v>21</v>
      </c>
      <c r="U17" s="2" t="s">
        <v>22</v>
      </c>
      <c r="V17" s="2" t="s">
        <v>23</v>
      </c>
      <c r="W17" s="2" t="s">
        <v>24</v>
      </c>
      <c r="X17" s="2" t="s">
        <v>25</v>
      </c>
    </row>
    <row r="18" spans="1:24" x14ac:dyDescent="0.3">
      <c r="A18" s="2"/>
      <c r="B18" s="2"/>
      <c r="C18" s="4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4"/>
      <c r="Q18" s="4"/>
      <c r="R18" s="2"/>
      <c r="S18" s="2"/>
      <c r="T18" s="2"/>
      <c r="U18" s="2"/>
      <c r="V18" s="2"/>
      <c r="W18" s="2"/>
      <c r="X18" s="2"/>
    </row>
    <row r="19" spans="1:24" x14ac:dyDescent="0.3">
      <c r="A19" s="2"/>
      <c r="B19" s="2"/>
      <c r="C19" s="4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4"/>
      <c r="Q19" s="4"/>
      <c r="R19" s="2"/>
      <c r="S19" s="2"/>
      <c r="T19" s="2"/>
      <c r="U19" s="2"/>
      <c r="V19" s="2"/>
      <c r="W19" s="2"/>
      <c r="X19" s="2"/>
    </row>
    <row r="20" spans="1:24" x14ac:dyDescent="0.3">
      <c r="A20" s="2"/>
      <c r="B20" s="2"/>
      <c r="C20" s="4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4"/>
      <c r="Q20" s="4"/>
      <c r="R20" s="2"/>
      <c r="S20" s="2"/>
      <c r="T20" s="2"/>
      <c r="U20" s="2"/>
      <c r="V20" s="2"/>
      <c r="W20" s="2"/>
      <c r="X20" s="2"/>
    </row>
    <row r="21" spans="1:24" x14ac:dyDescent="0.3">
      <c r="A21" s="2"/>
      <c r="B21" s="2"/>
      <c r="C21" s="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4"/>
      <c r="Q21" s="4"/>
      <c r="R21" s="2"/>
      <c r="S21" s="2"/>
      <c r="T21" s="2"/>
      <c r="U21" s="2"/>
      <c r="V21" s="2"/>
      <c r="W21" s="2"/>
      <c r="X21" s="2"/>
    </row>
    <row r="22" spans="1:24" x14ac:dyDescent="0.3">
      <c r="A22" s="2"/>
      <c r="B22" s="2"/>
      <c r="C22" s="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4"/>
      <c r="Q22" s="4"/>
      <c r="R22" s="2"/>
      <c r="S22" s="2"/>
      <c r="T22" s="2"/>
      <c r="U22" s="2"/>
      <c r="V22" s="2"/>
      <c r="W22" s="2"/>
      <c r="X22" s="2"/>
    </row>
    <row r="23" spans="1:24" x14ac:dyDescent="0.3">
      <c r="A23" s="2"/>
      <c r="B23" s="2"/>
      <c r="C23" s="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4"/>
      <c r="Q23" s="4"/>
      <c r="R23" s="2"/>
      <c r="S23" s="2"/>
      <c r="T23" s="2"/>
      <c r="U23" s="2"/>
      <c r="V23" s="2"/>
      <c r="W23" s="2"/>
      <c r="X23" s="2"/>
    </row>
    <row r="24" spans="1:24" x14ac:dyDescent="0.3">
      <c r="A24" s="2"/>
      <c r="B24" s="2"/>
      <c r="C24" s="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4"/>
      <c r="Q24" s="4"/>
      <c r="R24" s="2"/>
      <c r="S24" s="2"/>
      <c r="T24" s="2"/>
      <c r="U24" s="2"/>
      <c r="V24" s="2"/>
      <c r="W24" s="2"/>
      <c r="X24" s="2"/>
    </row>
    <row r="25" spans="1:24" x14ac:dyDescent="0.3">
      <c r="A25" s="2"/>
      <c r="B25" s="2"/>
      <c r="C25" s="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4"/>
      <c r="Q25" s="4"/>
      <c r="R25" s="2"/>
      <c r="S25" s="2"/>
      <c r="T25" s="2"/>
      <c r="U25" s="2"/>
      <c r="V25" s="2"/>
      <c r="W25" s="2"/>
      <c r="X25" s="2"/>
    </row>
    <row r="26" spans="1:24" x14ac:dyDescent="0.3">
      <c r="A26" s="7" t="s">
        <v>27</v>
      </c>
    </row>
    <row r="27" spans="1:24" x14ac:dyDescent="0.3">
      <c r="A27" s="8"/>
      <c r="B27" s="8"/>
      <c r="C27" s="8"/>
      <c r="D27" s="8"/>
      <c r="I27" s="3">
        <f>SUM(I18:I26)</f>
        <v>0</v>
      </c>
    </row>
    <row r="28" spans="1:24" x14ac:dyDescent="0.3">
      <c r="A28" s="8"/>
      <c r="B28" s="8" t="s">
        <v>28</v>
      </c>
      <c r="C28" s="8" t="s">
        <v>29</v>
      </c>
      <c r="D28" s="9" t="s">
        <v>30</v>
      </c>
      <c r="H28" s="2"/>
      <c r="I28" s="2"/>
    </row>
    <row r="29" spans="1:24" x14ac:dyDescent="0.3">
      <c r="A29" s="8" t="s">
        <v>48</v>
      </c>
      <c r="B29" s="39">
        <v>1610</v>
      </c>
      <c r="C29" s="24">
        <f>+CHATOU!C30+CHATOU!C31</f>
        <v>1433.8577399999999</v>
      </c>
      <c r="D29" s="25">
        <f>+B29-C29</f>
        <v>176.14226000000008</v>
      </c>
      <c r="H29" s="2"/>
      <c r="I29" s="2"/>
    </row>
    <row r="30" spans="1:24" x14ac:dyDescent="0.3">
      <c r="A30" s="8" t="s">
        <v>32</v>
      </c>
      <c r="B30" s="40"/>
      <c r="C30" s="24">
        <f>+CHATOU!C32</f>
        <v>1089.288</v>
      </c>
      <c r="D30" s="25">
        <f>+B30-C30</f>
        <v>-1089.288</v>
      </c>
      <c r="H30" s="2"/>
      <c r="I30" s="2"/>
    </row>
    <row r="31" spans="1:24" x14ac:dyDescent="0.3">
      <c r="A31" s="8"/>
      <c r="B31" s="8"/>
      <c r="C31" s="8"/>
      <c r="D31" s="28">
        <f>+D30+D29</f>
        <v>-913.14573999999993</v>
      </c>
      <c r="E31" s="21" t="s">
        <v>47</v>
      </c>
      <c r="H31" s="5" t="s">
        <v>26</v>
      </c>
      <c r="I31" s="6">
        <f>I13+I27</f>
        <v>0</v>
      </c>
    </row>
  </sheetData>
  <autoFilter ref="A4:N6" xr:uid="{2258F0D7-05FD-44A4-8464-FCDA0E74FE3F}">
    <sortState xmlns:xlrd2="http://schemas.microsoft.com/office/spreadsheetml/2017/richdata2" ref="A5:N12">
      <sortCondition ref="G4:G6"/>
    </sortState>
  </autoFilter>
  <mergeCells count="3">
    <mergeCell ref="A2:M2"/>
    <mergeCell ref="A15:M15"/>
    <mergeCell ref="B29:B3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D5EBC-DC27-4416-ABA7-C8370B128C70}">
  <sheetPr>
    <tabColor rgb="FFFFFF00"/>
  </sheetPr>
  <dimension ref="A1:X25"/>
  <sheetViews>
    <sheetView zoomScale="85" zoomScaleNormal="85" workbookViewId="0">
      <selection activeCell="C35" sqref="C35"/>
    </sheetView>
  </sheetViews>
  <sheetFormatPr baseColWidth="10" defaultRowHeight="14.4" x14ac:dyDescent="0.3"/>
  <cols>
    <col min="1" max="1" width="20.44140625" bestFit="1" customWidth="1"/>
    <col min="2" max="2" width="21.44140625" customWidth="1"/>
    <col min="3" max="3" width="20.33203125" bestFit="1" customWidth="1"/>
    <col min="4" max="4" width="23.109375" bestFit="1" customWidth="1"/>
    <col min="5" max="5" width="3.6640625" bestFit="1" customWidth="1"/>
    <col min="6" max="6" width="59.88671875" bestFit="1" customWidth="1"/>
    <col min="7" max="7" width="23.44140625" bestFit="1" customWidth="1"/>
    <col min="8" max="8" width="24.109375" bestFit="1" customWidth="1"/>
    <col min="9" max="10" width="23.77734375" bestFit="1" customWidth="1"/>
    <col min="11" max="11" width="27" bestFit="1" customWidth="1"/>
    <col min="12" max="12" width="33.88671875" bestFit="1" customWidth="1"/>
    <col min="13" max="13" width="13.109375" bestFit="1" customWidth="1"/>
  </cols>
  <sheetData>
    <row r="1" spans="1:24" ht="15" thickBot="1" x14ac:dyDescent="0.35"/>
    <row r="2" spans="1:24" ht="15" thickBot="1" x14ac:dyDescent="0.35">
      <c r="A2" s="34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</row>
    <row r="4" spans="1:24" x14ac:dyDescent="0.3">
      <c r="A4" s="2"/>
      <c r="B4" s="2"/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4"/>
      <c r="Q4" s="4"/>
      <c r="R4" s="2"/>
      <c r="S4" s="2"/>
      <c r="T4" s="2"/>
      <c r="U4" s="2"/>
      <c r="V4" s="2"/>
      <c r="W4" s="2"/>
      <c r="X4" s="2"/>
    </row>
    <row r="5" spans="1:24" x14ac:dyDescent="0.3">
      <c r="F5" s="1"/>
    </row>
    <row r="6" spans="1:24" x14ac:dyDescent="0.3">
      <c r="A6" s="2"/>
      <c r="B6" s="2"/>
      <c r="C6" s="2"/>
      <c r="D6" s="2"/>
      <c r="E6" s="2"/>
      <c r="F6" s="2"/>
      <c r="G6" s="2"/>
      <c r="H6" s="2"/>
      <c r="I6" s="3">
        <f>SUM(I4:I5)</f>
        <v>0</v>
      </c>
      <c r="J6" s="2"/>
      <c r="K6" s="2"/>
      <c r="L6" s="2"/>
      <c r="M6" s="2"/>
    </row>
    <row r="7" spans="1:24" ht="15" thickBo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24" ht="15" thickBot="1" x14ac:dyDescent="0.35">
      <c r="A8" s="34" t="s">
        <v>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6"/>
    </row>
    <row r="9" spans="1:2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24" x14ac:dyDescent="0.3">
      <c r="A10" s="2"/>
      <c r="B10" s="2"/>
      <c r="C10" s="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4"/>
      <c r="Q10" s="4"/>
      <c r="R10" s="2"/>
      <c r="S10" s="2"/>
      <c r="T10" s="2"/>
      <c r="U10" s="2"/>
      <c r="V10" s="2"/>
      <c r="W10" s="2"/>
      <c r="X10" s="2"/>
    </row>
    <row r="11" spans="1:24" x14ac:dyDescent="0.3">
      <c r="A11" s="2"/>
      <c r="B11" s="2"/>
      <c r="C11" s="4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4"/>
      <c r="Q11" s="4"/>
      <c r="R11" s="2"/>
      <c r="S11" s="2"/>
      <c r="T11" s="2"/>
      <c r="U11" s="2"/>
      <c r="V11" s="2"/>
      <c r="W11" s="2"/>
      <c r="X11" s="2"/>
    </row>
    <row r="12" spans="1:24" x14ac:dyDescent="0.3">
      <c r="A12" s="2"/>
      <c r="B12" s="2"/>
      <c r="C12" s="4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4"/>
      <c r="Q12" s="4"/>
      <c r="R12" s="2"/>
      <c r="S12" s="2"/>
      <c r="T12" s="2"/>
      <c r="U12" s="2"/>
      <c r="V12" s="2"/>
      <c r="W12" s="2"/>
      <c r="X12" s="2"/>
    </row>
    <row r="13" spans="1:24" x14ac:dyDescent="0.3">
      <c r="A13" s="2"/>
      <c r="B13" s="2"/>
      <c r="C13" s="4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4"/>
      <c r="Q13" s="4"/>
      <c r="R13" s="2"/>
      <c r="S13" s="2"/>
      <c r="T13" s="2"/>
      <c r="U13" s="2"/>
      <c r="V13" s="2"/>
      <c r="W13" s="2"/>
      <c r="X13" s="2"/>
    </row>
    <row r="14" spans="1:24" x14ac:dyDescent="0.3">
      <c r="A14" s="2"/>
      <c r="B14" s="2"/>
      <c r="C14" s="4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4"/>
      <c r="Q14" s="4"/>
      <c r="R14" s="2"/>
      <c r="S14" s="2"/>
      <c r="T14" s="2"/>
      <c r="U14" s="2"/>
      <c r="V14" s="2"/>
      <c r="W14" s="2"/>
      <c r="X14" s="2"/>
    </row>
    <row r="15" spans="1:24" x14ac:dyDescent="0.3">
      <c r="A15" s="2"/>
      <c r="B15" s="2"/>
      <c r="C15" s="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4"/>
      <c r="Q15" s="4"/>
      <c r="R15" s="2"/>
      <c r="S15" s="2"/>
      <c r="T15" s="2"/>
      <c r="U15" s="2"/>
      <c r="V15" s="2"/>
      <c r="W15" s="2"/>
      <c r="X15" s="2"/>
    </row>
    <row r="16" spans="1:24" x14ac:dyDescent="0.3">
      <c r="A16" s="2"/>
      <c r="B16" s="2"/>
      <c r="C16" s="4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4"/>
      <c r="Q16" s="4"/>
      <c r="R16" s="2"/>
      <c r="S16" s="2"/>
      <c r="T16" s="2"/>
      <c r="U16" s="2"/>
      <c r="V16" s="2"/>
      <c r="W16" s="2"/>
      <c r="X16" s="2"/>
    </row>
    <row r="17" spans="1:24" x14ac:dyDescent="0.3">
      <c r="A17" s="2"/>
      <c r="B17" s="2"/>
      <c r="C17" s="4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4"/>
      <c r="Q17" s="4"/>
      <c r="R17" s="2"/>
      <c r="S17" s="2"/>
      <c r="T17" s="2"/>
      <c r="U17" s="2"/>
      <c r="V17" s="2"/>
      <c r="W17" s="2"/>
      <c r="X17" s="2"/>
    </row>
    <row r="19" spans="1:24" x14ac:dyDescent="0.3">
      <c r="I19" s="3">
        <f>SUM(I10:I18)</f>
        <v>0</v>
      </c>
    </row>
    <row r="20" spans="1:24" x14ac:dyDescent="0.3">
      <c r="A20" s="7" t="s">
        <v>33</v>
      </c>
    </row>
    <row r="21" spans="1:24" x14ac:dyDescent="0.3">
      <c r="A21" s="8"/>
      <c r="B21" s="8"/>
      <c r="C21" s="8"/>
      <c r="D21" s="8"/>
      <c r="H21" s="5" t="s">
        <v>26</v>
      </c>
      <c r="I21" s="6">
        <f>I6+I19</f>
        <v>0</v>
      </c>
    </row>
    <row r="22" spans="1:24" x14ac:dyDescent="0.3">
      <c r="A22" s="8"/>
      <c r="B22" s="8" t="s">
        <v>28</v>
      </c>
      <c r="C22" s="8" t="s">
        <v>29</v>
      </c>
      <c r="D22" s="9" t="s">
        <v>30</v>
      </c>
    </row>
    <row r="23" spans="1:24" x14ac:dyDescent="0.3">
      <c r="A23" s="8" t="s">
        <v>31</v>
      </c>
      <c r="B23" s="8">
        <v>1591.3</v>
      </c>
      <c r="C23" s="12"/>
      <c r="D23" s="9">
        <f>+B23-C23</f>
        <v>1591.3</v>
      </c>
    </row>
    <row r="24" spans="1:24" x14ac:dyDescent="0.3">
      <c r="A24" s="8" t="s">
        <v>32</v>
      </c>
      <c r="B24" s="8">
        <f>3710-2473.33</f>
        <v>1236.67</v>
      </c>
      <c r="C24" s="8">
        <f>3710/12*4</f>
        <v>1236.6666666666667</v>
      </c>
      <c r="D24" s="10">
        <f>+B24-C24</f>
        <v>3.3333333333303017E-3</v>
      </c>
      <c r="E24" t="s">
        <v>34</v>
      </c>
    </row>
    <row r="25" spans="1:24" x14ac:dyDescent="0.3">
      <c r="A25" s="8"/>
      <c r="B25" s="8"/>
      <c r="C25" s="8"/>
      <c r="D25" s="11">
        <f>+D24+D23</f>
        <v>1591.3033333333333</v>
      </c>
    </row>
  </sheetData>
  <mergeCells count="2">
    <mergeCell ref="A2:M2"/>
    <mergeCell ref="A8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CHATOU</vt:lpstr>
      <vt:lpstr>DENANT</vt:lpstr>
      <vt:lpstr>LE PLESSIS</vt:lpstr>
      <vt:lpstr>CHATOU!Zone_d_impression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Ichiaka KONE</dc:creator>
  <cp:lastModifiedBy>Ichiaka KONE</cp:lastModifiedBy>
  <cp:lastPrinted>2025-10-27T15:20:15Z</cp:lastPrinted>
  <dcterms:created xsi:type="dcterms:W3CDTF">2025-01-22T17:19:56Z</dcterms:created>
  <dcterms:modified xsi:type="dcterms:W3CDTF">2025-10-27T15:20:54Z</dcterms:modified>
</cp:coreProperties>
</file>