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_Lots" sheetId="1" state="visible" r:id="rId3"/>
    <sheet name="Synthèse_SCI" sheetId="2" state="visible" r:id="rId4"/>
    <sheet name="Emprunts" sheetId="3" state="visible" r:id="rId5"/>
    <sheet name="Inventaire_Documents" sheetId="4" state="visible" r:id="rId6"/>
    <sheet name="Anomalies" sheetId="5" state="visible" r:id="rId7"/>
    <sheet name="Lexique &amp; Sources" sheetId="6" state="visible" r:id="rId8"/>
  </sheets>
  <definedNames>
    <definedName function="false" hidden="true" localSheetId="4" name="_xlnm._FilterDatabase" vbProcedure="false">Anomalies!$A$3:$F$36</definedName>
    <definedName function="false" hidden="true" localSheetId="2" name="_xlnm._FilterDatabase" vbProcedure="false">Emprunts!$A$3:$M$22</definedName>
    <definedName function="false" hidden="true" localSheetId="3" name="_xlnm._FilterDatabase" vbProcedure="false">Inventaire_Documents!$A$3:$L$12</definedName>
    <definedName function="false" hidden="true" localSheetId="0" name="_xlnm._FilterDatabase" vbProcedure="false">Synthèse_Lots!$A$3:$BK$24</definedName>
    <definedName function="false" hidden="true" localSheetId="1" name="_xlnm._FilterDatabase" vbProcedure="false">Synthèse_SCI!$A$3:$Q$9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D3" authorId="0">
      <text>
        <r>
          <rPr>
            <sz val="10"/>
            <rFont val="Arial"/>
            <family val="2"/>
          </rPr>
          <t xml:space="preserve">Pour éviter le double-comptage, les comptes de fichiers ne sont portés que sur le premier lot de chaque dossier LPC (les autres lots du même dossier affichent vide). Somme à l'échelle SCI correcte.</t>
        </r>
      </text>
    </comment>
  </commentList>
</comments>
</file>

<file path=xl/sharedStrings.xml><?xml version="1.0" encoding="utf-8"?>
<sst xmlns="http://schemas.openxmlformats.org/spreadsheetml/2006/main" count="1109" uniqueCount="494">
  <si>
    <t xml:space="preserve">SYNTHÈSE DES LOTS — Portefeuille Asset Management SCI (source : BDD SCI 07.04.26 + RECAPITULATIFs + inventaire documents)</t>
  </si>
  <si>
    <t xml:space="preserve">IDENTIFICATION</t>
  </si>
  <si>
    <t xml:space="preserve">N°</t>
  </si>
  <si>
    <t xml:space="preserve">SCI</t>
  </si>
  <si>
    <t xml:space="preserve">Bailleur (libellé bail)</t>
  </si>
  <si>
    <t xml:space="preserve">Ville</t>
  </si>
  <si>
    <t xml:space="preserve">CP</t>
  </si>
  <si>
    <t xml:space="preserve">Adresse</t>
  </si>
  <si>
    <t xml:space="preserve">Section cadastre</t>
  </si>
  <si>
    <t xml:space="preserve">Copropriété</t>
  </si>
  <si>
    <t xml:space="preserve">Destination / Lot</t>
  </si>
  <si>
    <t xml:space="preserve">Surface terrain (m²)</t>
  </si>
  <si>
    <t xml:space="preserve">Surface privative (m²)</t>
  </si>
  <si>
    <t xml:space="preserve">Surface louée (m²)</t>
  </si>
  <si>
    <t xml:space="preserve">Date acquisition</t>
  </si>
  <si>
    <t xml:space="preserve">Prix acquisition (€)</t>
  </si>
  <si>
    <t xml:space="preserve">Quote-part prix d'achat (€)</t>
  </si>
  <si>
    <t xml:space="preserve">Quote-part apport (€)</t>
  </si>
  <si>
    <t xml:space="preserve">Locataire</t>
  </si>
  <si>
    <t xml:space="preserve">Type de bail</t>
  </si>
  <si>
    <t xml:space="preserve">Date début</t>
  </si>
  <si>
    <t xml:space="preserve">Date fin</t>
  </si>
  <si>
    <t xml:space="preserve">Durée (années)</t>
  </si>
  <si>
    <t xml:space="preserve">Échéance (années restantes)</t>
  </si>
  <si>
    <t xml:space="preserve">Franchise (info recap)</t>
  </si>
  <si>
    <t xml:space="preserve">Loyer départ (€/an)</t>
  </si>
  <si>
    <t xml:space="preserve">Loyer actuel HC 2026 (€/an)</t>
  </si>
  <si>
    <t xml:space="preserve">Loyer €/m²/an</t>
  </si>
  <si>
    <t xml:space="preserve">Loyer mensuel HC (€/mois)</t>
  </si>
  <si>
    <t xml:space="preserve">Indice revalorisation</t>
  </si>
  <si>
    <t xml:space="preserve">Indice initial (recap)</t>
  </si>
  <si>
    <t xml:space="preserve">Soumis à TVA</t>
  </si>
  <si>
    <t xml:space="preserve">DG d'origine (€)</t>
  </si>
  <si>
    <t xml:space="preserve">DG actuel (€)</t>
  </si>
  <si>
    <t xml:space="preserve">Banque(s)</t>
  </si>
  <si>
    <t xml:space="preserve">Garantie</t>
  </si>
  <si>
    <t xml:space="preserve">Total emprunts SCI (€)</t>
  </si>
  <si>
    <t xml:space="preserve">Quote-part emprunt lot (€)</t>
  </si>
  <si>
    <t xml:space="preserve">Quote-part restant fin 2025 (€)</t>
  </si>
  <si>
    <t xml:space="preserve">Taux d'intérêt</t>
  </si>
  <si>
    <t xml:space="preserve">Taux d'assurance</t>
  </si>
  <si>
    <t xml:space="preserve">Durée emprunt</t>
  </si>
  <si>
    <t xml:space="preserve">Date fin emprunt</t>
  </si>
  <si>
    <t xml:space="preserve">VO (€)</t>
  </si>
  <si>
    <t xml:space="preserve">VNC (€)</t>
  </si>
  <si>
    <t xml:space="preserve">Valeur base 7% renta (€)
[calculé = Loyer / 7%]</t>
  </si>
  <si>
    <t xml:space="preserve">Prix m² acquisition (€/m²)</t>
  </si>
  <si>
    <t xml:space="preserve">Charges refacturées /an (€)</t>
  </si>
  <si>
    <t xml:space="preserve">Charges réelles payées SCI /an (€)</t>
  </si>
  <si>
    <t xml:space="preserve">Solde à charge SCI (€)</t>
  </si>
  <si>
    <t xml:space="preserve">Taxe foncière (€)</t>
  </si>
  <si>
    <t xml:space="preserve">Dossier charges renseigné</t>
  </si>
  <si>
    <t xml:space="preserve">Damien %</t>
  </si>
  <si>
    <t xml:space="preserve">Sébastien %</t>
  </si>
  <si>
    <t xml:space="preserve">HIO %</t>
  </si>
  <si>
    <t xml:space="preserve">AXORIEL %</t>
  </si>
  <si>
    <t xml:space="preserve">Démembrement</t>
  </si>
  <si>
    <t xml:space="preserve">Nb fichiers</t>
  </si>
  <si>
    <t xml:space="preserve">Nb PDFs</t>
  </si>
  <si>
    <t xml:space="preserve">Nb avenants (fichiers)</t>
  </si>
  <si>
    <t xml:space="preserve">Nb quittances</t>
  </si>
  <si>
    <t xml:space="preserve">Nb docs copro</t>
  </si>
  <si>
    <t xml:space="preserve">Dossier bail (AM/)</t>
  </si>
  <si>
    <t xml:space="preserve">Anomalies détectées</t>
  </si>
  <si>
    <t xml:space="preserve">34 RUE HAUTE</t>
  </si>
  <si>
    <t xml:space="preserve">SCI 34 RUE HAUTE</t>
  </si>
  <si>
    <t xml:space="preserve">DEUIL LA BARRE</t>
  </si>
  <si>
    <t xml:space="preserve">95170</t>
  </si>
  <si>
    <t xml:space="preserve">AE273;AE1086;AE1177</t>
  </si>
  <si>
    <t xml:space="preserve">non</t>
  </si>
  <si>
    <t xml:space="preserve">Crèche</t>
  </si>
  <si>
    <t xml:space="preserve">LPC LE LAC</t>
  </si>
  <si>
    <t xml:space="preserve">commercial</t>
  </si>
  <si>
    <t xml:space="preserve">FRANCHISE 9 mois</t>
  </si>
  <si>
    <t xml:space="preserve">ILC</t>
  </si>
  <si>
    <t xml:space="preserve">SG et CE</t>
  </si>
  <si>
    <t xml:space="preserve">sur SG caution HIO et AXORIEL
sur CE hypothèque et Caution SAS</t>
  </si>
  <si>
    <t xml:space="preserve">1,35% CE et 3,53% SG</t>
  </si>
  <si>
    <t xml:space="preserve">non trouvé</t>
  </si>
  <si>
    <t xml:space="preserve">15 CE et 7 SG</t>
  </si>
  <si>
    <t xml:space="preserve">Partiel</t>
  </si>
  <si>
    <t xml:space="preserve">Bail LPC34 Deuil La Barre - SCI 34 HAUTE</t>
  </si>
  <si>
    <t xml:space="preserve">ℹ 6 avenant(s) archivé(s)</t>
  </si>
  <si>
    <t xml:space="preserve">Ecole</t>
  </si>
  <si>
    <t xml:space="preserve">CESAP</t>
  </si>
  <si>
    <t xml:space="preserve">professionnel</t>
  </si>
  <si>
    <t xml:space="preserve">ICC 4T2023 = 2162</t>
  </si>
  <si>
    <t xml:space="preserve">Vide</t>
  </si>
  <si>
    <t xml:space="preserve">⚠ Erreur formule loyer actuel  |  ℹ 6 avenant(s) archivé(s)</t>
  </si>
  <si>
    <t xml:space="preserve">Logements 1 appartement avec terrasse et jardin RDC</t>
  </si>
  <si>
    <t xml:space="preserve">M. BONHOMME</t>
  </si>
  <si>
    <t xml:space="preserve">logement</t>
  </si>
  <si>
    <t xml:space="preserve">IRL 3T2023 = 141,03</t>
  </si>
  <si>
    <t xml:space="preserve">Logements 2 appartement RDC</t>
  </si>
  <si>
    <t xml:space="preserve">M. LEPAGE</t>
  </si>
  <si>
    <t xml:space="preserve">Logements 3 1er étage à droite</t>
  </si>
  <si>
    <t xml:space="preserve">Mme CHERIF</t>
  </si>
  <si>
    <t xml:space="preserve">IRL 1T2024 = 143,46</t>
  </si>
  <si>
    <t xml:space="preserve">Logements 4 1er étage à gauche</t>
  </si>
  <si>
    <t xml:space="preserve">M. SAIDI</t>
  </si>
  <si>
    <t xml:space="preserve">Logements 5 2ème étage</t>
  </si>
  <si>
    <t xml:space="preserve">M. CLERC &amp; Mme GREGOIRE</t>
  </si>
  <si>
    <t xml:space="preserve">⚠ Bail &lt;3 ans restants  |  ℹ 6 avenant(s) archivé(s)</t>
  </si>
  <si>
    <t xml:space="preserve">ARMEE ORIENT</t>
  </si>
  <si>
    <t xml:space="preserve">SCI ARMEE D'ORIENT</t>
  </si>
  <si>
    <t xml:space="preserve">EPONE</t>
  </si>
  <si>
    <t xml:space="preserve">78680</t>
  </si>
  <si>
    <t xml:space="preserve">Route de Velannes</t>
  </si>
  <si>
    <t xml:space="preserve">J1451-1641-1473-1477-1478-1482-1481-1486-1480</t>
  </si>
  <si>
    <t xml:space="preserve">Crèche Epone</t>
  </si>
  <si>
    <t xml:space="preserve">LPC MEDERIC</t>
  </si>
  <si>
    <t xml:space="preserve">LCL</t>
  </si>
  <si>
    <t xml:space="preserve">Affectation hypothécaire du bien immobilier </t>
  </si>
  <si>
    <t xml:space="preserve">Oui (avenant)</t>
  </si>
  <si>
    <t xml:space="preserve">Bail LPC45 Epone - SCI ARMEE ORIENT</t>
  </si>
  <si>
    <t xml:space="preserve">ℹ DG modifié par avenant : 21,750 → 14,772 €  |  ℹ 3 avenant(s) archivé(s)</t>
  </si>
  <si>
    <t xml:space="preserve">NICE</t>
  </si>
  <si>
    <t xml:space="preserve">06300</t>
  </si>
  <si>
    <t xml:space="preserve">8 rue Armée D'Orient</t>
  </si>
  <si>
    <t xml:space="preserve">oui</t>
  </si>
  <si>
    <t xml:space="preserve">Crèche Nice</t>
  </si>
  <si>
    <t xml:space="preserve">LPC FREJUS</t>
  </si>
  <si>
    <t xml:space="preserve">FRANCHISE 8 mois</t>
  </si>
  <si>
    <t xml:space="preserve">CA</t>
  </si>
  <si>
    <t xml:space="preserve">Hypothèque conventionnelle + Cautionnements solidaires HIO et AXORIEL</t>
  </si>
  <si>
    <t xml:space="preserve">Bail LPC47 Nice - SCI ARMEE ORIENT</t>
  </si>
  <si>
    <t xml:space="preserve">ℹ 1 avenant(s) archivé(s)</t>
  </si>
  <si>
    <t xml:space="preserve">CHENNEVIERES</t>
  </si>
  <si>
    <t xml:space="preserve">SCI CHENNEVIERES BRIAND</t>
  </si>
  <si>
    <t xml:space="preserve">ALFORTVILLE</t>
  </si>
  <si>
    <t xml:space="preserve">94140</t>
  </si>
  <si>
    <t xml:space="preserve">105 rue Etienne Dolet</t>
  </si>
  <si>
    <t xml:space="preserve">Crèche Alforville</t>
  </si>
  <si>
    <t xml:space="preserve">LPC VAL DE MARNE</t>
  </si>
  <si>
    <t xml:space="preserve">FRANCHISE  mois (val=8)</t>
  </si>
  <si>
    <t xml:space="preserve">SG</t>
  </si>
  <si>
    <t xml:space="preserve">IPPD et hypothèque.</t>
  </si>
  <si>
    <t xml:space="preserve">Bail LPC54 LPC ALFORTVILLE - SCI CHENNEVIERES ouverture 09-2024</t>
  </si>
  <si>
    <t xml:space="preserve">⚠ Date fin &lt; date début  |  ⚠ Bail &lt;3 ans restants</t>
  </si>
  <si>
    <t xml:space="preserve">CHENNEVIERES SUR MARNE</t>
  </si>
  <si>
    <t xml:space="preserve">94430</t>
  </si>
  <si>
    <t xml:space="preserve">49 rue Aristide Briand</t>
  </si>
  <si>
    <t xml:space="preserve">Crèche Chennevières</t>
  </si>
  <si>
    <t xml:space="preserve">Vefa 01/07/2022</t>
  </si>
  <si>
    <t xml:space="preserve">Bail LPC48 LPC CHENNEVIERES - SCI CHENNEVIERES ouverture 03-2024</t>
  </si>
  <si>
    <t xml:space="preserve">GENERAL JULES BRIMONT</t>
  </si>
  <si>
    <t xml:space="preserve">SCI GENERAL JULES BRIMONT</t>
  </si>
  <si>
    <t xml:space="preserve">CHATOU</t>
  </si>
  <si>
    <t xml:space="preserve">78400</t>
  </si>
  <si>
    <t xml:space="preserve">32 avenue de Brimont</t>
  </si>
  <si>
    <t xml:space="preserve">AR39-42</t>
  </si>
  <si>
    <t xml:space="preserve">Crèche Chatou</t>
  </si>
  <si>
    <t xml:space="preserve">LPC YVELINES</t>
  </si>
  <si>
    <t xml:space="preserve">FRANCHISE </t>
  </si>
  <si>
    <t xml:space="preserve">CE</t>
  </si>
  <si>
    <t xml:space="preserve">Oui (régul)</t>
  </si>
  <si>
    <t xml:space="preserve">ℹ 3 avenant(s) archivé(s)</t>
  </si>
  <si>
    <t xml:space="preserve">SCI GENERAL JULES BRIMONT </t>
  </si>
  <si>
    <t xml:space="preserve">PLESSIS BOUCHARD</t>
  </si>
  <si>
    <t xml:space="preserve">95130</t>
  </si>
  <si>
    <t xml:space="preserve">56 Chaussée Jules César</t>
  </si>
  <si>
    <t xml:space="preserve">Crèche LPB</t>
  </si>
  <si>
    <t xml:space="preserve">SARL VAL D'OISE</t>
  </si>
  <si>
    <t xml:space="preserve">FRANCHISE (mois° (val=8)</t>
  </si>
  <si>
    <t xml:space="preserve">Hypothèque Légale Spéciale de Prêteur de Deniers sur le bien immobilier</t>
  </si>
  <si>
    <t xml:space="preserve">Bail LPC51 LE PLESSIS-BOUCHARD - SCI GENERAL ouverture 09-2024</t>
  </si>
  <si>
    <t xml:space="preserve">30 ter avenue de Brimont</t>
  </si>
  <si>
    <t xml:space="preserve">Bureau au RDC</t>
  </si>
  <si>
    <t xml:space="preserve">Petits Fils (Pierre Jacques &amp; Co)</t>
  </si>
  <si>
    <t xml:space="preserve">dérogatoire au statut des baux commerciaux</t>
  </si>
  <si>
    <t xml:space="preserve">ILC 3T2024</t>
  </si>
  <si>
    <t xml:space="preserve">Bail LPC46 LPC CHATOU - SCI GENERAL ouverture 09-2024</t>
  </si>
  <si>
    <t xml:space="preserve">⚠ Bail &lt;3 ans restants  |  ℹ 3 avenant(s) archivé(s)</t>
  </si>
  <si>
    <t xml:space="preserve">Mme DENANT (Podologue)</t>
  </si>
  <si>
    <t xml:space="preserve">ILAT </t>
  </si>
  <si>
    <t xml:space="preserve">Mme DIAZ COURTENAY MAYERS (Pédopsy)</t>
  </si>
  <si>
    <t xml:space="preserve">ICC 4T2024 = 2108</t>
  </si>
  <si>
    <t xml:space="preserve">⚠ Date fin &lt; date début  |  ⚠ Bail &lt;3 ans restants  |  ℹ 3 avenant(s) archivé(s)</t>
  </si>
  <si>
    <t xml:space="preserve">Local professionnel</t>
  </si>
  <si>
    <t xml:space="preserve">Mme JOUBERT (Psychomotricienne)</t>
  </si>
  <si>
    <t xml:space="preserve">ICC 3T2024 = 2143</t>
  </si>
  <si>
    <t xml:space="preserve">Local professionnel en R+1</t>
  </si>
  <si>
    <t xml:space="preserve">Mme MOCH (ostéopathe)</t>
  </si>
  <si>
    <t xml:space="preserve">Mme BEAUMONT (Psychologue)</t>
  </si>
  <si>
    <t xml:space="preserve">ICC</t>
  </si>
  <si>
    <t xml:space="preserve">LEGRAND</t>
  </si>
  <si>
    <t xml:space="preserve">SCI LE GRAND </t>
  </si>
  <si>
    <t xml:space="preserve">NOISY LE GRAND</t>
  </si>
  <si>
    <t xml:space="preserve">93160</t>
  </si>
  <si>
    <t xml:space="preserve">12 BD DU MONT D'EST </t>
  </si>
  <si>
    <t xml:space="preserve">BO168 et BO163</t>
  </si>
  <si>
    <t xml:space="preserve">Crèche Noisy</t>
  </si>
  <si>
    <t xml:space="preserve">LPC LE GRAND</t>
  </si>
  <si>
    <t xml:space="preserve">ILC 2T2017 = 110</t>
  </si>
  <si>
    <t xml:space="preserve">BNP</t>
  </si>
  <si>
    <t xml:space="preserve">Cautionnement de la SAS + privilège de prêteur de deniers</t>
  </si>
  <si>
    <t xml:space="preserve">Partiel (encours)</t>
  </si>
  <si>
    <t xml:space="preserve">oui usufruit SAS</t>
  </si>
  <si>
    <t xml:space="preserve">Bail LPC20 Noisy Legrand  - SCI LEGRAND</t>
  </si>
  <si>
    <t xml:space="preserve">⚠ Bail &lt;3 ans restants</t>
  </si>
  <si>
    <t xml:space="preserve">SCI Legrand</t>
  </si>
  <si>
    <t xml:space="preserve">SCEAUX</t>
  </si>
  <si>
    <t xml:space="preserve">92330</t>
  </si>
  <si>
    <t xml:space="preserve">146/148 RUE HOUDAN</t>
  </si>
  <si>
    <t xml:space="preserve">E174</t>
  </si>
  <si>
    <t xml:space="preserve">Crèche Sceaux</t>
  </si>
  <si>
    <t xml:space="preserve">LPC SCEAUX</t>
  </si>
  <si>
    <t xml:space="preserve">ILC 1T2018 = 127,22</t>
  </si>
  <si>
    <t xml:space="preserve">Cautionnement de la SAS (546k€)</t>
  </si>
  <si>
    <t xml:space="preserve">Oui (récap détaillé)</t>
  </si>
  <si>
    <t xml:space="preserve">Bail LPC27 Sceaux - SCI LEGRAND</t>
  </si>
  <si>
    <t xml:space="preserve">TAVERNY</t>
  </si>
  <si>
    <t xml:space="preserve">SCI TAVERNY</t>
  </si>
  <si>
    <t xml:space="preserve">95150</t>
  </si>
  <si>
    <t xml:space="preserve">3 rue des Ecoles</t>
  </si>
  <si>
    <t xml:space="preserve">Crèche Taverny</t>
  </si>
  <si>
    <t xml:space="preserve">LPC TAVERNY</t>
  </si>
  <si>
    <t xml:space="preserve">Bail commercial</t>
  </si>
  <si>
    <t xml:space="preserve">Oui</t>
  </si>
  <si>
    <t xml:space="preserve">Affectation hypothécaire du bien immobilier</t>
  </si>
  <si>
    <t xml:space="preserve">—</t>
  </si>
  <si>
    <t xml:space="preserve">Bail signé 02/06/2025, prise effet 01/09/2026 (loyer 2026 = prorata 4 mois)</t>
  </si>
  <si>
    <t xml:space="preserve">TOTAL</t>
  </si>
  <si>
    <t xml:space="preserve">SYNTHÈSE PAR SCI — agrégats calculés depuis l'onglet Synthèse_Lots</t>
  </si>
  <si>
    <t xml:space="preserve">Nb lots</t>
  </si>
  <si>
    <t xml:space="preserve">Prix acquisition total (€)</t>
  </si>
  <si>
    <t xml:space="preserve">Loyer actuel total (€/an)</t>
  </si>
  <si>
    <t xml:space="preserve">Loyer mensuel (€/mois)</t>
  </si>
  <si>
    <t xml:space="preserve">Loyer €/m²/an moyen</t>
  </si>
  <si>
    <t xml:space="preserve">DG d'origine total (€)</t>
  </si>
  <si>
    <t xml:space="preserve">DG actuel total (€)</t>
  </si>
  <si>
    <t xml:space="preserve">Charges refacturées (€/an)</t>
  </si>
  <si>
    <t xml:space="preserve">Charges réelles SCI (€/an)</t>
  </si>
  <si>
    <t xml:space="preserve">Solde charges SCI (€/an)</t>
  </si>
  <si>
    <t xml:space="preserve">Taxe foncière (€/an)</t>
  </si>
  <si>
    <t xml:space="preserve">Total emprunts (€)</t>
  </si>
  <si>
    <t xml:space="preserve">Restant dû fin 2025 (€)</t>
  </si>
  <si>
    <t xml:space="preserve">Restant dû / Prix acq.</t>
  </si>
  <si>
    <t xml:space="preserve">Rendement brut actuel (sur prix)</t>
  </si>
  <si>
    <t xml:space="preserve">VNC totale (€)</t>
  </si>
  <si>
    <t xml:space="preserve">Valeur 7% renta (€)</t>
  </si>
  <si>
    <t xml:space="preserve">LTV sur valeur 7%</t>
  </si>
  <si>
    <t xml:space="preserve">Plus-value latente (€) 7% vs acq</t>
  </si>
  <si>
    <t xml:space="preserve">Nb avenants archivés</t>
  </si>
  <si>
    <t xml:space="preserve">TOTAL PORTEFEUILLE</t>
  </si>
  <si>
    <t xml:space="preserve">EMPRUNTS — détails et échéanciers (source : onglet Emprunts du master BDD SCI 07.04.26)</t>
  </si>
  <si>
    <t xml:space="preserve">Nom du prêt</t>
  </si>
  <si>
    <t xml:space="preserve">SCI / Société</t>
  </si>
  <si>
    <t xml:space="preserve">Banque</t>
  </si>
  <si>
    <t xml:space="preserve">Compte compta</t>
  </si>
  <si>
    <t xml:space="preserve">Montant initial (€)</t>
  </si>
  <si>
    <t xml:space="preserve">Date 1ère échéance</t>
  </si>
  <si>
    <t xml:space="preserve">Échéance 2026 (€)</t>
  </si>
  <si>
    <t xml:space="preserve">Solde fin 2025 (€)</t>
  </si>
  <si>
    <t xml:space="preserve">Solde fin 2026 (€)</t>
  </si>
  <si>
    <t xml:space="preserve">Solde fin 2030 (€)</t>
  </si>
  <si>
    <t xml:space="preserve">Solde fin 2035 (€)</t>
  </si>
  <si>
    <t xml:space="preserve">Statut</t>
  </si>
  <si>
    <t xml:space="preserve">CE_SCI HOCHE</t>
  </si>
  <si>
    <t xml:space="preserve">9-HOCHE</t>
  </si>
  <si>
    <t xml:space="preserve">Soldé</t>
  </si>
  <si>
    <t xml:space="preserve">CE_SCI 34 HAUTE</t>
  </si>
  <si>
    <t xml:space="preserve">9-HAUTE</t>
  </si>
  <si>
    <t xml:space="preserve">Actif</t>
  </si>
  <si>
    <t xml:space="preserve">SG_SCI 34 HAUTE</t>
  </si>
  <si>
    <t xml:space="preserve">BNP_SCI LEGRAND</t>
  </si>
  <si>
    <t xml:space="preserve">9-LEGRAND</t>
  </si>
  <si>
    <t xml:space="preserve">BNP_SCI MADELI</t>
  </si>
  <si>
    <t xml:space="preserve">9-MADELI</t>
  </si>
  <si>
    <t xml:space="preserve">CE_SCI ARAGO</t>
  </si>
  <si>
    <t xml:space="preserve">9-ARAGO</t>
  </si>
  <si>
    <t xml:space="preserve">SG_SCI LEGRAND</t>
  </si>
  <si>
    <t xml:space="preserve">CA_SCI ORIENT</t>
  </si>
  <si>
    <t xml:space="preserve">9-ORIENT</t>
  </si>
  <si>
    <t xml:space="preserve">LCL_SCI ORIENT</t>
  </si>
  <si>
    <t xml:space="preserve">LCL_SCI CHENNEVIERES</t>
  </si>
  <si>
    <t xml:space="preserve">9-CHENNEVIERES</t>
  </si>
  <si>
    <t xml:space="preserve">CE_SCI TAVERNY</t>
  </si>
  <si>
    <t xml:space="preserve">9-TAVERNY</t>
  </si>
  <si>
    <t xml:space="preserve">CE_SCI CHATOU</t>
  </si>
  <si>
    <t xml:space="preserve">9-GJB</t>
  </si>
  <si>
    <t xml:space="preserve">LCL_SCI PLESSIS</t>
  </si>
  <si>
    <t xml:space="preserve">SG_SCI ALFORTVILLE</t>
  </si>
  <si>
    <t xml:space="preserve">LCL_900k</t>
  </si>
  <si>
    <t xml:space="preserve">AXORIEL</t>
  </si>
  <si>
    <t xml:space="preserve">HIO</t>
  </si>
  <si>
    <t xml:space="preserve">BNP_793k</t>
  </si>
  <si>
    <t xml:space="preserve">INVENTAIRE DOCUMENTS — fichiers présents dans chaque dossier 'Bail LPCxx'</t>
  </si>
  <si>
    <t xml:space="preserve">Code LPC</t>
  </si>
  <si>
    <t xml:space="preserve">Dossier</t>
  </si>
  <si>
    <t xml:space="preserve">Nb fichiers total</t>
  </si>
  <si>
    <t xml:space="preserve">PDFs</t>
  </si>
  <si>
    <t xml:space="preserve">DOCX</t>
  </si>
  <si>
    <t xml:space="preserve">XLSX</t>
  </si>
  <si>
    <t xml:space="preserve">Fichiers bail</t>
  </si>
  <si>
    <t xml:space="preserve">Avenants</t>
  </si>
  <si>
    <t xml:space="preserve">Quittances</t>
  </si>
  <si>
    <t xml:space="preserve">Docs copro</t>
  </si>
  <si>
    <t xml:space="preserve">LPC20</t>
  </si>
  <si>
    <t xml:space="preserve">SCI LEGRAND</t>
  </si>
  <si>
    <t xml:space="preserve">Noisy Legrand</t>
  </si>
  <si>
    <t xml:space="preserve">LPC27</t>
  </si>
  <si>
    <t xml:space="preserve">Sceaux</t>
  </si>
  <si>
    <t xml:space="preserve">LPC34</t>
  </si>
  <si>
    <t xml:space="preserve">SCI 34 HAUTE</t>
  </si>
  <si>
    <t xml:space="preserve">Deuil La Barre</t>
  </si>
  <si>
    <t xml:space="preserve">LPC45</t>
  </si>
  <si>
    <t xml:space="preserve">SCI ARMEE ORIENT</t>
  </si>
  <si>
    <t xml:space="preserve">Epone</t>
  </si>
  <si>
    <t xml:space="preserve">LPC46</t>
  </si>
  <si>
    <t xml:space="preserve">SCI GENERAL ouverture 09-2024</t>
  </si>
  <si>
    <t xml:space="preserve">LPC CHATOU</t>
  </si>
  <si>
    <t xml:space="preserve">LPC47</t>
  </si>
  <si>
    <t xml:space="preserve">Nice</t>
  </si>
  <si>
    <t xml:space="preserve">LPC48</t>
  </si>
  <si>
    <t xml:space="preserve">SCI CHENNEVIERES ouverture 03-2024</t>
  </si>
  <si>
    <t xml:space="preserve">LPC CHENNEVIERES</t>
  </si>
  <si>
    <t xml:space="preserve">LPC51</t>
  </si>
  <si>
    <t xml:space="preserve">BOUCHARD - SCI GENERAL ouverture 09-2024</t>
  </si>
  <si>
    <t xml:space="preserve">LE PLESSIS</t>
  </si>
  <si>
    <t xml:space="preserve">LPC54</t>
  </si>
  <si>
    <t xml:space="preserve">SCI CHENNEVIERES ouverture 09-2024</t>
  </si>
  <si>
    <t xml:space="preserve">LPC ALFORTVILLE</t>
  </si>
  <si>
    <t xml:space="preserve">CONTRÔLES &amp; ANOMALIES — alertes automatiques à lever</t>
  </si>
  <si>
    <t xml:space="preserve">Sévérité</t>
  </si>
  <si>
    <t xml:space="preserve">LPC</t>
  </si>
  <si>
    <t xml:space="preserve">Lot</t>
  </si>
  <si>
    <t xml:space="preserve">Anomalie</t>
  </si>
  <si>
    <t xml:space="preserve">ℹ Info</t>
  </si>
  <si>
    <t xml:space="preserve">⚠ Alerte</t>
  </si>
  <si>
    <t xml:space="preserve">⚠ Erreur formule loyer actuel</t>
  </si>
  <si>
    <t xml:space="preserve">ℹ DG modifié par avenant : 21,750 → 14,772 €</t>
  </si>
  <si>
    <t xml:space="preserve">⚠ Date fin &lt; date début</t>
  </si>
  <si>
    <t xml:space="preserve">Mme DENANT (Pédicure)</t>
  </si>
  <si>
    <t xml:space="preserve">Mme BARREIRO(diététicienne)</t>
  </si>
  <si>
    <t xml:space="preserve">⚠ Surface louée manquante</t>
  </si>
  <si>
    <t xml:space="preserve">⚠ Dossier AM non présent dans l'archive</t>
  </si>
  <si>
    <t xml:space="preserve">Portefeuille</t>
  </si>
  <si>
    <t xml:space="preserve">SCI cédées</t>
  </si>
  <si>
    <t xml:space="preserve">HOCHE ERMONT, MADELI, 22 RUE ARAGO</t>
  </si>
  <si>
    <t xml:space="preserve">SCI vendues et non incluses en Synthèse_Lots : HOCHE ERMONT, MADELI, 22 RUE ARAGO</t>
  </si>
  <si>
    <t xml:space="preserve">Aucun dossier physique 'Bail LPC Taverny' dans l'archive AM (ouverture postérieure probable).</t>
  </si>
  <si>
    <t xml:space="preserve">Cabinets paramédicaux</t>
  </si>
  <si>
    <t xml:space="preserve">Écart SYNTH↔BDD : SYNTH liste Mme MOCH (ostéopathe) et Mme BEAUMONT (Psychologue) ; BDD liste Mme BARREIRO (diététicienne). À arbitrer — BDD considérée plus à jour.</t>
  </si>
  <si>
    <t xml:space="preserve">Mme DENANT</t>
  </si>
  <si>
    <t xml:space="preserve">Libellé incohérent : 'Podologue' en SYNTH / 'Pédicure' en BDD (même locataire).</t>
  </si>
  <si>
    <t xml:space="preserve">✅ Résolu</t>
  </si>
  <si>
    <t xml:space="preserve">Loyer actuel CESAP renseigné depuis SYNTH master = 30 374 €/an</t>
  </si>
  <si>
    <t xml:space="preserve">Date fin corrigée 31/12/2033 (était 2023 par erreur)</t>
  </si>
  <si>
    <t xml:space="preserve">Renouvelée Podologue avec nouveau bail 01/02/2026 → 01/02/2035</t>
  </si>
  <si>
    <t xml:space="preserve">Mme DIAZ</t>
  </si>
  <si>
    <t xml:space="preserve">Date fin corrigée 15/05/2031 (erreur de saisie BDD master)</t>
  </si>
  <si>
    <t xml:space="preserve">Local pro R+1</t>
  </si>
  <si>
    <t xml:space="preserve">Mme MOCH</t>
  </si>
  <si>
    <t xml:space="preserve">Nouveau bail remplaçant Mme BARREIRO (n'est plus d'actualité)</t>
  </si>
  <si>
    <t xml:space="preserve">ℹ Nouveau</t>
  </si>
  <si>
    <t xml:space="preserve">Mme BEAUMONT</t>
  </si>
  <si>
    <t xml:space="preserve">Nouveau lot ajouté (n°22) - bail 01/10/2025 → 30/09/2031</t>
  </si>
  <si>
    <t xml:space="preserve">Le seul fichier dans le dossier Taverny est en réalité le bail de Nice (mal classé). Aucun bail signé Taverny dans l'archive.</t>
  </si>
  <si>
    <t xml:space="preserve">Logements</t>
  </si>
  <si>
    <t xml:space="preserve">DG des 5 logements = 1 mois de loyer (locations vides), confirmé par baux PDF</t>
  </si>
  <si>
    <t xml:space="preserve">DG = 5 100 € (= 2 mois de loyer 2 550 €), confirmé par bail PDF</t>
  </si>
  <si>
    <t xml:space="preserve">DG d'origine 21 750 € → réduit à 14 772,50 € après avenant 1 (effet 01/01/2024)</t>
  </si>
  <si>
    <t xml:space="preserve">Loyer initial 87 000 € → réduit à 59 090 € après avenant (puis 35 880 € avec franchise 2026)</t>
  </si>
  <si>
    <t xml:space="preserve">REGUL charges 2024 : copro réelle 3 408 €, TF réelle 2 589 €, refacturation 5 752 € → écart à régulariser</t>
  </si>
  <si>
    <t xml:space="preserve">REGUL charges 2024 : TF 1 237 € (équilibré), copro 1 591 € à refacturer</t>
  </si>
  <si>
    <t xml:space="preserve">TF historique : 2 389 € (2018), puis ~5 100-5 385 €/an (2019-2022)</t>
  </si>
  <si>
    <t xml:space="preserve">⚠ Manque</t>
  </si>
  <si>
    <t xml:space="preserve">Local pro</t>
  </si>
  <si>
    <t xml:space="preserve">Mme JOUBERT</t>
  </si>
  <si>
    <t xml:space="preserve">DG d'origine et conditions financières non extractibles du bail PDF (extraction échouée)</t>
  </si>
  <si>
    <t xml:space="preserve">Toutes SCI</t>
  </si>
  <si>
    <t xml:space="preserve">Taxe foncière non renseignée pour la majorité des sites (8/9). Seuls Sceaux, Chatou, Plessis et Noisy disposent de TF historiques.</t>
  </si>
  <si>
    <t xml:space="preserve">Charges réellement payées par les SCI non disponibles pour : 34 RUE HAUTE crèche, Alfortville, Chennevières, Petits-Fils, Diaz, MOCH, Joubert, Taverny.</t>
  </si>
  <si>
    <t xml:space="preserve">✅ Bail Taverny intégré (PDF 02/06/2025) - Loyer 65 000 €/an HT (utilisateur confirme : c'est le bail qui fait foi vs SYNTH master 67 000 €). DG 16 250€, charges 2 975€/an, durée 10 ans, prise effet 01/09/2026.</t>
  </si>
  <si>
    <t xml:space="preserve">✅ DG d'origine 2 947,08 € confirmé</t>
  </si>
  <si>
    <t xml:space="preserve">⚠ À vérifier</t>
  </si>
  <si>
    <t xml:space="preserve">Écart +138 959 € entre somme NOUS (restant emprunt par QP m²) et SYNTH master (1 928 814 vs 1 789 855). À arbitrer comptablement.</t>
  </si>
  <si>
    <t xml:space="preserve">✅ Surface Épone : 203 m² intérieur (les 311 m² du bail incluent le jardin). Confirmé par utilisateur.</t>
  </si>
  <si>
    <t xml:space="preserve">LEXIQUE &amp; SOURCES — définitions des colonnes, méthodologie et limites</t>
  </si>
  <si>
    <t xml:space="preserve">Section / Bloc</t>
  </si>
  <si>
    <t xml:space="preserve">Champ</t>
  </si>
  <si>
    <t xml:space="preserve">Définition / Source / Méthode</t>
  </si>
  <si>
    <t xml:space="preserve">Général</t>
  </si>
  <si>
    <t xml:space="preserve">Périmètre</t>
  </si>
  <si>
    <t xml:space="preserve">21 lots actifs appartenant à 6 SCI (34 RUE HAUTE, LEGRAND, ARMEE ORIENT, CHENNEVIERES, TAVERNY, GENERAL JULES BRIMONT) + 3 SCI cédées notées en Anomalies (HOCHE ERMONT, MADELI, 22 RUE ARAGO).</t>
  </si>
  <si>
    <t xml:space="preserve">Source principale</t>
  </si>
  <si>
    <t xml:space="preserve">/BDD - AM/BDD SCI 07.04.26 - BDD - loyers actuels complétés.xlsx, onglet 'BDD' (1 ligne/lot, 46 colonnes).</t>
  </si>
  <si>
    <t xml:space="preserve">Enrichissements</t>
  </si>
  <si>
    <t xml:space="preserve">Par LPCxx : BAIL/CHARGES des 9 RECAPITULATIF.xlsx + inventaire des 944 fichiers dans les sous-dossiers.</t>
  </si>
  <si>
    <t xml:space="preserve">Date d'arrêté</t>
  </si>
  <si>
    <t xml:space="preserve">Données arrêtées au 07/04/2026 (source master). Valeurs loyers = 'prévu 2026'.</t>
  </si>
  <si>
    <t xml:space="preserve">Numéro de crèche LPC tel que présent dans le nom du dossier Bail (LPC20, LPC27, etc.).</t>
  </si>
  <si>
    <t xml:space="preserve">Dénomination courte de la SCI propriétaire.</t>
  </si>
  <si>
    <t xml:space="preserve">Dénomination exacte du bailleur telle que lue dans la première ligne de l'onglet BAIL du RECAPITULATIF du site.</t>
  </si>
  <si>
    <t xml:space="preserve">Colonne 'Section cadastre' de la BDD — références parcellaires (ex. AE273;AE1086;AE1177 pour 34 Haute).</t>
  </si>
  <si>
    <t xml:space="preserve">Colonne 'Copro' — oui/non. Impact : charges communes, TF, assemblée générale.</t>
  </si>
  <si>
    <t xml:space="preserve">CARACTÉRISTIQUES</t>
  </si>
  <si>
    <t xml:space="preserve">Libellé du lot : crèche, école, logement, bureau, local professionnel.</t>
  </si>
  <si>
    <t xml:space="preserve">Surface foncière totale du site (renseignée au niveau SCI, répétée sur chaque lot).</t>
  </si>
  <si>
    <t xml:space="preserve">Surface privative globale — pertinente pour lots principaux.</t>
  </si>
  <si>
    <t xml:space="preserve">Surface louée correspondant au lot pris isolément — utilisée pour les ratios €/m².</t>
  </si>
  <si>
    <t xml:space="preserve">ACQUISITION</t>
  </si>
  <si>
    <t xml:space="preserve">Date d'acquisition par la SCI (idem pour tous les lots d'une même SCI).</t>
  </si>
  <si>
    <t xml:space="preserve">Quote-part prix d'achat</t>
  </si>
  <si>
    <t xml:space="preserve">Prix d'acquisition pondéré par m² pour chaque lot (colonnes X et Y de l'onglet BDD).</t>
  </si>
  <si>
    <t xml:space="preserve">Quote-part apport</t>
  </si>
  <si>
    <t xml:space="preserve">Apport en capital de la SCI au pro rata du lot.</t>
  </si>
  <si>
    <t xml:space="preserve">BAIL</t>
  </si>
  <si>
    <t xml:space="preserve">Date début / fin</t>
  </si>
  <si>
    <t xml:space="preserve">Dates de prise d'effet et d'échéance du bail. Converti depuis le format Excel. ⚠ Pour Alforville (LPC54), date de fin &lt; date de début dans la source — à corriger.</t>
  </si>
  <si>
    <t xml:space="preserve">Calcul = (Date fin - Date début) / 365.25.</t>
  </si>
  <si>
    <t xml:space="preserve">Échéance restante</t>
  </si>
  <si>
    <t xml:space="preserve">Années restantes jusqu'à la date de fin, depuis la date d'extraction 16/04/2026. Bail &lt; 3 ans restants : signalé en anomalie.</t>
  </si>
  <si>
    <t xml:space="preserve">Franchise</t>
  </si>
  <si>
    <t xml:space="preserve">Lu dans l'onglet BAIL du RECAPITULATIF (FRANCHISE 8/9/12 mois selon site).</t>
  </si>
  <si>
    <t xml:space="preserve">LOYER &amp; INDEXATION</t>
  </si>
  <si>
    <t xml:space="preserve">Loyer départ</t>
  </si>
  <si>
    <t xml:space="preserve">Loyer annuel HC initial au démarrage du bail.</t>
  </si>
  <si>
    <t xml:space="preserve">Loyer actuel HC 2026</t>
  </si>
  <si>
    <t xml:space="preserve">Loyer annuel HC indexé attendu pour 2026. ⚠ Une valeur est en erreur formule (« erreur de formule ») pour CESAP — à recalculer.</t>
  </si>
  <si>
    <t xml:space="preserve">Formule =Loyer actuel / Surface louée — recalculé automatiquement.</t>
  </si>
  <si>
    <t xml:space="preserve">ILC, ILAT, IRL, ICC : type d'indice de révision du loyer.</t>
  </si>
  <si>
    <t xml:space="preserve">Indice initial</t>
  </si>
  <si>
    <t xml:space="preserve">Valeur numérique de l'indice à la signature, issue du RECAPITULATIF (ex. ILC 3T2022=126,13 pour Epone initial).</t>
  </si>
  <si>
    <t xml:space="preserve">Dépôt garantie</t>
  </si>
  <si>
    <t xml:space="preserve">DG en €. Priorité : valeur de l'avenant si applicable (cas Epone : 21750 → 14772,5). Sinon DG initial du bail.</t>
  </si>
  <si>
    <t xml:space="preserve">FINANCEMENT</t>
  </si>
  <si>
    <t xml:space="preserve">Total emprunts SCI</t>
  </si>
  <si>
    <t xml:space="preserve">Somme des prêts affectés à la SCI — renseigné uniquement sur la ligne crèche principale pour éviter double-comptage.</t>
  </si>
  <si>
    <t xml:space="preserve">Quote-part emprunt lot</t>
  </si>
  <si>
    <t xml:space="preserve">Emprunt pondéré au lot (m²).</t>
  </si>
  <si>
    <t xml:space="preserve">Quote-part restant fin 2025</t>
  </si>
  <si>
    <t xml:space="preserve">Capital restant dû à fin d'exercice 2025 pondéré au lot.</t>
  </si>
  <si>
    <t xml:space="preserve">Taux nominal. Format hétérogène — cas 34 Haute : '1,35% CE et 3,53% SG' (deux prêts parallèles).</t>
  </si>
  <si>
    <t xml:space="preserve">Date d'échéance du prêt principal de la SCI.</t>
  </si>
  <si>
    <t xml:space="preserve">VALORISATION</t>
  </si>
  <si>
    <t xml:space="preserve">VO</t>
  </si>
  <si>
    <t xml:space="preserve">Valeur d'origine comptable (colonne AA).</t>
  </si>
  <si>
    <t xml:space="preserve">VNC</t>
  </si>
  <si>
    <t xml:space="preserve">Valeur nette comptable (colonne AB).</t>
  </si>
  <si>
    <t xml:space="preserve">Valeur base 7% renta</t>
  </si>
  <si>
    <t xml:space="preserve">Colonne AQ : valorisation par capitalisation au taux de rendement cible 7%.</t>
  </si>
  <si>
    <t xml:space="preserve">Prix m² acquisition</t>
  </si>
  <si>
    <t xml:space="preserve">Formule : Quote-part prix achat / Surface louée.</t>
  </si>
  <si>
    <t xml:space="preserve">Prix m² implicite 7%</t>
  </si>
  <si>
    <t xml:space="preserve">Formule : Valeur 7% / Surface louée. Comparable au marché.</t>
  </si>
  <si>
    <t xml:space="preserve">CHARGES &amp; TAXES</t>
  </si>
  <si>
    <t xml:space="preserve">Provisions charges init.</t>
  </si>
  <si>
    <t xml:space="preserve">Provisions annuelles du bail (colonne INITIAL de l'onglet CHARGES du RECAPITULATIF). Renseigné seulement pour Epone et Nice dans l'archive — ailleurs le template n'a pas été rempli.</t>
  </si>
  <si>
    <t xml:space="preserve">Taxe foncière</t>
  </si>
  <si>
    <t xml:space="preserve">Non présente dans les RECAPITULATIF fournis — colonne laissée vide. Peut être complétée ultérieurement depuis les AVIS TF des dossiers Copro.</t>
  </si>
  <si>
    <t xml:space="preserve">Indicateur qualitatif : 'Oui' / 'Partiel' / 'Vide' selon niveau de complétude du RECAPITULATIF.</t>
  </si>
  <si>
    <t xml:space="preserve">DÉTENTION CAPITAL</t>
  </si>
  <si>
    <t xml:space="preserve">Damien/Sébastien/HIO/AXORIEL %</t>
  </si>
  <si>
    <t xml:space="preserve">Répartition capitalistique (colonnes AM à AP). 50/50 HIO/AXORIEL pour la plupart des SCI ; Legrand : 50/50 Damien/Sébastien.</t>
  </si>
  <si>
    <t xml:space="preserve">Indique si une partie de la SCI est démembrée (usufruit LPC SAS sur Legrand).</t>
  </si>
  <si>
    <t xml:space="preserve">DOCUMENTS DOSSIER</t>
  </si>
  <si>
    <t xml:space="preserve">Compte récursif des fichiers dans le sous-dossier 'Bail LPCxx' (hors fichiers cachés ~ et .).</t>
  </si>
  <si>
    <t xml:space="preserve">Nb avenants</t>
  </si>
  <si>
    <t xml:space="preserve">Fichiers dont le nom contient 'avenant' (case-insensitive). LPC34 : 6 (surtout logements). LPC46 : 3 (dont podologue).</t>
  </si>
  <si>
    <t xml:space="preserve">Fichiers présents dans un sous-dossier nommé 'Quittance(s)'. LPC46 : 101 (le plus fourni).</t>
  </si>
  <si>
    <t xml:space="preserve">Fichiers présents dans un sous-dossier 'COPRO(PRIETE)'. LPC20 : 76.</t>
  </si>
  <si>
    <t xml:space="preserve">OBSERVATIONS</t>
  </si>
  <si>
    <t xml:space="preserve">Message automatique concaténant : alertes (⚠) et informations (ℹ) — cf. onglet 'Anomalies' pour le détail.</t>
  </si>
  <si>
    <t xml:space="preserve">Méthodologie</t>
  </si>
  <si>
    <t xml:space="preserve">Règles d'agrégation (Synthèse_SCI)</t>
  </si>
  <si>
    <t xml:space="preserve">SUMIF par colonne SCI. 'Total emprunts SCI' n'est renseigné que sur le lot principal de chaque crèche pour éviter le double-comptage → la somme SUMIF équivaut à la valeur SCI.</t>
  </si>
  <si>
    <t xml:space="preserve">LTV</t>
  </si>
  <si>
    <t xml:space="preserve">Restant dû fin 2025 / Prix d'acquisition. Indicateur simplifié (ne tient pas compte des apports ni du CRD au 31/12/2025 actualisé).</t>
  </si>
  <si>
    <t xml:space="preserve">Rendement brut</t>
  </si>
  <si>
    <t xml:space="preserve">Loyer actuel 2026 / Prix d'acquisition. Pour un rendement sur valeur vénale, utiliser la colonne 'Valeur base 7%' au dénominateur.</t>
  </si>
  <si>
    <t xml:space="preserve">Limites</t>
  </si>
  <si>
    <t xml:space="preserve">SCI vendues</t>
  </si>
  <si>
    <t xml:space="preserve">HOCHE ERMONT, MADELI, 22 RUE ARAGO exclues (état 'VENDU'). Pour mémoire : BNP_SCI MADELI 1,6 M€ soldé ; CE_SCI ARAGO 1,35 M€ soldé ; CE_SCI HOCHE 435 k€ soldé en 2025.</t>
  </si>
  <si>
    <t xml:space="preserve">Aucun dossier 'Bail LPC Taverny' présent dans l'archive AM — inventaire documents vide. À remonter.</t>
  </si>
  <si>
    <t xml:space="preserve">Prêts HIO/AXORIEL</t>
  </si>
  <si>
    <t xml:space="preserve">Les prêts 'LCL_900k' et 'BNP_793k' sont portés par les holdings HIO et AXORIEL, non par une SCI locataire. Ils figurent en onglet 'Emprunts' mais pas en Synthèse_Lots.</t>
  </si>
  <si>
    <t xml:space="preserve">Charges &amp; TF</t>
  </si>
  <si>
    <t xml:space="preserve">L'onglet CHARGES/TAXES du RECAPITULATIF a été laissé à son état template dans 7/9 dossiers — la colonne 'Taxe foncière' est vide. Source à alimenter depuis les avis TF (dossier Copro).</t>
  </si>
  <si>
    <t xml:space="preserve">DEPOT GARANTIE</t>
  </si>
  <si>
    <t xml:space="preserve">Dépôt de garantie initial à la signature du bail. Pour locations vides : 1 mois de loyer (loi 89). Pour commerces : généralement 3 mois HT. Source : baux PDF + RECAPITULATIF.</t>
  </si>
  <si>
    <t xml:space="preserve">DG actuel indexé (€)</t>
  </si>
  <si>
    <t xml:space="preserve">Dépôt de garantie ajusté annuellement à la date anniversaire du bail dans les mêmes conditions que l'indexation du loyer (clause standard).</t>
  </si>
  <si>
    <t xml:space="preserve">Provisions pour charges appelées au locataire chaque année (provisions trimestrielles × 4). Source : RECAPITULATIF onglet CHARGES + onglets de régularisation.</t>
  </si>
  <si>
    <t xml:space="preserve">Charges effectivement supportées par la SCI (copro + ascenseur + TF + autres). Source : régularisations annuelles + factures + état d'encours BNP/syndic.</t>
  </si>
  <si>
    <t xml:space="preserve">Formule = Charges réelles - Charges refacturées. Solde négatif = trop perçu / Solde positif = à charge SCI.</t>
  </si>
  <si>
    <t xml:space="preserve">TF annuelle à charge propriétaire (refacturable au locataire selon clauses du bail). Données disponibles uniquement pour Sceaux, Chatou, Plessis, Noisy.</t>
  </si>
  <si>
    <t xml:space="preserve">LIMITES</t>
  </si>
  <si>
    <t xml:space="preserve">Données manquantes TF</t>
  </si>
  <si>
    <t xml:space="preserve">TF non disponibles pour 34 RUE HAUTE, Épone, Nice, Chennevières, Alfortville. À compléter depuis avis de TF reçus en mairie.</t>
  </si>
  <si>
    <t xml:space="preserve">Données manquantes charges réelles</t>
  </si>
  <si>
    <t xml:space="preserve">Charges réellement payées par les SCI non disponibles pour 8 lots. À compléter depuis comptabilité SCI / factures syndic.</t>
  </si>
  <si>
    <t xml:space="preserve">Bail Taverny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</si>
</sst>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[RED]\(#,##0\);\-"/>
    <numFmt numFmtId="166" formatCode="@"/>
    <numFmt numFmtId="167" formatCode="#,##0.00;[RED]\(#,##0.00\);\-"/>
    <numFmt numFmtId="168" formatCode="dd/mm/yyyy"/>
    <numFmt numFmtId="169" formatCode="#,##0&quot; €&quot;;[RED]\(#,##0&quot; €)&quot;;\-"/>
    <numFmt numFmtId="170" formatCode="#,##0&quot; €/m²&quot;;\-"/>
    <numFmt numFmtId="171" formatCode="#,##0"/>
    <numFmt numFmtId="172" formatCode="#,##0;\(#,##0\);\-"/>
    <numFmt numFmtId="173" formatCode="0.00%;[RED]\(0.00%\);\-"/>
    <numFmt numFmtId="174" formatCode="#,##0.00"/>
    <numFmt numFmtId="175" formatCode="0"/>
    <numFmt numFmtId="176" formatCode="#,##0.0"/>
    <numFmt numFmtId="17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CC00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FFEB9C"/>
        <bgColor rgb="FFFFE699"/>
      </patternFill>
    </fill>
    <fill>
      <patternFill patternType="solid">
        <fgColor rgb="FFD9E1F2"/>
        <bgColor rgb="FFD0D0D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0D0D0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7"/>
    <col collapsed="false" customWidth="true" hidden="false" outlineLevel="0" max="7" min="7" style="1" width="26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30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5" min="13" style="1" width="13"/>
    <col collapsed="false" customWidth="true" hidden="false" outlineLevel="0" max="16" min="16" style="1" width="14"/>
    <col collapsed="false" customWidth="true" hidden="false" outlineLevel="0" max="17" min="17" style="1" width="30"/>
    <col collapsed="false" customWidth="true" hidden="false" outlineLevel="0" max="18" min="18" style="1" width="15"/>
    <col collapsed="false" customWidth="true" hidden="false" outlineLevel="0" max="19" min="19" style="1" width="14"/>
    <col collapsed="false" customWidth="true" hidden="false" outlineLevel="0" max="20" min="20" style="1" width="26"/>
    <col collapsed="false" customWidth="true" hidden="false" outlineLevel="0" max="21" min="21" style="1" width="15"/>
    <col collapsed="false" customWidth="true" hidden="false" outlineLevel="0" max="23" min="22" style="1" width="12"/>
    <col collapsed="false" customWidth="true" hidden="false" outlineLevel="0" max="24" min="24" style="1" width="10"/>
    <col collapsed="false" customWidth="true" hidden="false" outlineLevel="0" max="25" min="25" style="1" width="12"/>
    <col collapsed="false" customWidth="true" hidden="false" outlineLevel="0" max="26" min="26" style="1" width="16"/>
    <col collapsed="false" customWidth="true" hidden="false" outlineLevel="0" max="27" min="27" style="1" width="13"/>
    <col collapsed="false" customWidth="true" hidden="false" outlineLevel="0" max="28" min="28" style="1" width="15"/>
    <col collapsed="false" customWidth="true" hidden="false" outlineLevel="0" max="29" min="29" style="1" width="12"/>
    <col collapsed="false" customWidth="true" hidden="false" outlineLevel="0" max="30" min="30" style="1" width="13"/>
    <col collapsed="false" customWidth="true" hidden="false" outlineLevel="0" max="31" min="31" style="1" width="22"/>
    <col collapsed="false" customWidth="true" hidden="false" outlineLevel="0" max="32" min="32" style="1" width="12"/>
    <col collapsed="false" customWidth="true" hidden="false" outlineLevel="0" max="33" min="33" style="1" width="10"/>
    <col collapsed="false" customWidth="true" hidden="false" outlineLevel="0" max="34" min="34" style="1" width="12"/>
    <col collapsed="false" customWidth="true" hidden="false" outlineLevel="0" max="35" min="35" style="1" width="14"/>
    <col collapsed="false" customWidth="true" hidden="false" outlineLevel="0" max="36" min="36" style="1" width="34"/>
    <col collapsed="false" customWidth="true" hidden="false" outlineLevel="0" max="39" min="37" style="1" width="14"/>
    <col collapsed="false" customWidth="true" hidden="false" outlineLevel="0" max="40" min="40" style="1" width="18"/>
    <col collapsed="false" customWidth="true" hidden="false" outlineLevel="0" max="41" min="41" style="1" width="12"/>
    <col collapsed="false" customWidth="true" hidden="false" outlineLevel="0" max="42" min="42" style="1" width="10"/>
    <col collapsed="false" customWidth="true" hidden="false" outlineLevel="0" max="45" min="43" style="1" width="12"/>
    <col collapsed="false" customWidth="true" hidden="false" outlineLevel="0" max="46" min="46" style="1" width="14"/>
    <col collapsed="false" customWidth="true" hidden="false" outlineLevel="0" max="48" min="47" style="1" width="12"/>
    <col collapsed="false" customWidth="true" hidden="false" outlineLevel="0" max="49" min="49" style="1" width="13"/>
    <col collapsed="false" customWidth="true" hidden="false" outlineLevel="0" max="50" min="50" style="1" width="12"/>
    <col collapsed="false" customWidth="true" hidden="false" outlineLevel="0" max="51" min="51" style="1" width="11"/>
    <col collapsed="false" customWidth="true" hidden="false" outlineLevel="0" max="55" min="52" style="1" width="9"/>
    <col collapsed="false" customWidth="true" hidden="false" outlineLevel="0" max="56" min="56" style="1" width="14"/>
    <col collapsed="false" customWidth="true" hidden="false" outlineLevel="0" max="58" min="57" style="1" width="8"/>
    <col collapsed="false" customWidth="true" hidden="false" outlineLevel="0" max="61" min="59" style="1" width="10"/>
    <col collapsed="false" customWidth="true" hidden="false" outlineLevel="0" max="63" min="62" style="1" width="5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"/>
      <c r="AS2" s="4"/>
      <c r="AT2" s="4"/>
      <c r="AU2" s="4"/>
      <c r="AV2" s="4"/>
      <c r="AW2" s="5"/>
      <c r="AX2" s="5"/>
      <c r="AY2" s="5"/>
      <c r="AZ2" s="5"/>
      <c r="BA2" s="5"/>
      <c r="BB2" s="5"/>
      <c r="BC2" s="5"/>
      <c r="BD2" s="5"/>
      <c r="BE2" s="4"/>
      <c r="BF2" s="4"/>
      <c r="BG2" s="4"/>
      <c r="BH2" s="4"/>
      <c r="BI2" s="4"/>
      <c r="BJ2" s="4"/>
    </row>
    <row r="3" customFormat="false" ht="42" hidden="false" customHeight="tru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7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  <c r="AP3" s="6" t="s">
        <v>43</v>
      </c>
      <c r="AQ3" s="6" t="s">
        <v>44</v>
      </c>
      <c r="AR3" s="6" t="s">
        <v>45</v>
      </c>
      <c r="AS3" s="6" t="s">
        <v>46</v>
      </c>
      <c r="AT3" s="6" t="s">
        <v>47</v>
      </c>
      <c r="AU3" s="7" t="s">
        <v>48</v>
      </c>
      <c r="AV3" s="7" t="s">
        <v>49</v>
      </c>
      <c r="AW3" s="6" t="s">
        <v>50</v>
      </c>
      <c r="AX3" s="6" t="s">
        <v>51</v>
      </c>
      <c r="AY3" s="6" t="s">
        <v>52</v>
      </c>
      <c r="AZ3" s="6" t="s">
        <v>53</v>
      </c>
      <c r="BA3" s="6" t="s">
        <v>54</v>
      </c>
      <c r="BB3" s="6" t="s">
        <v>55</v>
      </c>
      <c r="BC3" s="6" t="s">
        <v>56</v>
      </c>
      <c r="BD3" s="6" t="s">
        <v>57</v>
      </c>
      <c r="BE3" s="6" t="s">
        <v>58</v>
      </c>
      <c r="BF3" s="6" t="s">
        <v>59</v>
      </c>
      <c r="BG3" s="6" t="s">
        <v>60</v>
      </c>
      <c r="BH3" s="6" t="s">
        <v>61</v>
      </c>
      <c r="BI3" s="6" t="s">
        <v>62</v>
      </c>
      <c r="BJ3" s="6" t="s">
        <v>63</v>
      </c>
    </row>
    <row r="4" customFormat="false" ht="33.75" hidden="false" customHeight="true" outlineLevel="0" collapsed="false">
      <c r="A4" s="8" t="n">
        <v>1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64</v>
      </c>
      <c r="G4" s="9" t="s">
        <v>68</v>
      </c>
      <c r="H4" s="9" t="s">
        <v>69</v>
      </c>
      <c r="I4" s="9" t="s">
        <v>70</v>
      </c>
      <c r="J4" s="10" t="n">
        <v>1265</v>
      </c>
      <c r="K4" s="10"/>
      <c r="L4" s="10" t="n">
        <v>395</v>
      </c>
      <c r="M4" s="11" t="n">
        <v>44558</v>
      </c>
      <c r="N4" s="12" t="n">
        <v>380000</v>
      </c>
      <c r="O4" s="12" t="n">
        <v>201964.477933262</v>
      </c>
      <c r="P4" s="12" t="n">
        <v>17804.7631862217</v>
      </c>
      <c r="Q4" s="9" t="s">
        <v>71</v>
      </c>
      <c r="R4" s="9" t="s">
        <v>72</v>
      </c>
      <c r="S4" s="11" t="n">
        <v>44562</v>
      </c>
      <c r="T4" s="11" t="n">
        <v>47848</v>
      </c>
      <c r="U4" s="10" t="n">
        <v>8.99657768651609</v>
      </c>
      <c r="V4" s="10" t="n">
        <v>4.70910335386721</v>
      </c>
      <c r="W4" s="9" t="s">
        <v>73</v>
      </c>
      <c r="X4" s="12" t="n">
        <v>87000</v>
      </c>
      <c r="Y4" s="12" t="n">
        <v>99639.32</v>
      </c>
      <c r="Z4" s="13" t="n">
        <f aca="false">IFERROR(Y4/L4,"")</f>
        <v>252.251443037975</v>
      </c>
      <c r="AA4" s="12" t="n">
        <f aca="false">IFERROR(Y4/12,"")</f>
        <v>8303.27666666667</v>
      </c>
      <c r="AB4" s="9" t="s">
        <v>74</v>
      </c>
      <c r="AC4" s="10" t="n">
        <v>119.7</v>
      </c>
      <c r="AD4" s="9" t="s">
        <v>69</v>
      </c>
      <c r="AE4" s="14" t="n">
        <v>21750</v>
      </c>
      <c r="AF4" s="15" t="n">
        <v>24910</v>
      </c>
      <c r="AG4" s="9" t="s">
        <v>75</v>
      </c>
      <c r="AH4" s="9" t="s">
        <v>76</v>
      </c>
      <c r="AI4" s="12" t="n">
        <v>2274000</v>
      </c>
      <c r="AJ4" s="12" t="n">
        <v>1208597.9547901</v>
      </c>
      <c r="AK4" s="12" t="n">
        <v>951281.922766415</v>
      </c>
      <c r="AL4" s="9" t="s">
        <v>77</v>
      </c>
      <c r="AM4" s="9" t="s">
        <v>78</v>
      </c>
      <c r="AN4" s="9" t="s">
        <v>79</v>
      </c>
      <c r="AO4" s="11" t="n">
        <v>49836</v>
      </c>
      <c r="AP4" s="12" t="n">
        <v>2390000</v>
      </c>
      <c r="AQ4" s="12" t="n">
        <v>70000</v>
      </c>
      <c r="AR4" s="12" t="n">
        <f aca="false">IFERROR(Y4/0.07,0)</f>
        <v>1423418.85714286</v>
      </c>
      <c r="AS4" s="13" t="n">
        <f aca="false">IFERROR(O4/L4,"")</f>
        <v>511.30247578041</v>
      </c>
      <c r="AT4" s="16" t="n">
        <v>11100</v>
      </c>
      <c r="AV4" s="17" t="str">
        <f aca="false">IF(AND(ISNUMBER(AT4),ISNUMBER(AU4)),AU4-AT4,"")</f>
        <v/>
      </c>
      <c r="AW4" s="12"/>
      <c r="AX4" s="9" t="s">
        <v>80</v>
      </c>
      <c r="AY4" s="18" t="n">
        <v>0.0001</v>
      </c>
      <c r="AZ4" s="18" t="n">
        <v>0.0001</v>
      </c>
      <c r="BA4" s="18" t="n">
        <v>0.4999</v>
      </c>
      <c r="BB4" s="18" t="n">
        <v>0.4999</v>
      </c>
      <c r="BC4" s="9"/>
      <c r="BD4" s="8" t="n">
        <v>181</v>
      </c>
      <c r="BE4" s="8" t="n">
        <v>170</v>
      </c>
      <c r="BF4" s="8" t="n">
        <v>6</v>
      </c>
      <c r="BG4" s="8" t="n">
        <v>26</v>
      </c>
      <c r="BH4" s="8" t="n">
        <v>0</v>
      </c>
      <c r="BI4" s="9" t="s">
        <v>81</v>
      </c>
      <c r="BJ4" s="9" t="s">
        <v>82</v>
      </c>
    </row>
    <row r="5" customFormat="false" ht="33.75" hidden="false" customHeight="true" outlineLevel="0" collapsed="false">
      <c r="A5" s="19" t="n">
        <v>2</v>
      </c>
      <c r="B5" s="20" t="s">
        <v>64</v>
      </c>
      <c r="C5" s="20" t="s">
        <v>65</v>
      </c>
      <c r="D5" s="20" t="s">
        <v>66</v>
      </c>
      <c r="E5" s="20" t="s">
        <v>67</v>
      </c>
      <c r="F5" s="20" t="s">
        <v>64</v>
      </c>
      <c r="G5" s="20" t="s">
        <v>68</v>
      </c>
      <c r="H5" s="20" t="s">
        <v>69</v>
      </c>
      <c r="I5" s="20" t="s">
        <v>83</v>
      </c>
      <c r="J5" s="21" t="n">
        <v>1265</v>
      </c>
      <c r="K5" s="21"/>
      <c r="L5" s="21" t="n">
        <v>174</v>
      </c>
      <c r="M5" s="22" t="n">
        <v>44558</v>
      </c>
      <c r="N5" s="23"/>
      <c r="O5" s="23" t="n">
        <v>88966.6307857912</v>
      </c>
      <c r="P5" s="23" t="n">
        <v>7843.11087190528</v>
      </c>
      <c r="Q5" s="20" t="s">
        <v>84</v>
      </c>
      <c r="R5" s="20" t="s">
        <v>85</v>
      </c>
      <c r="S5" s="22" t="n">
        <v>45412</v>
      </c>
      <c r="T5" s="22" t="n">
        <v>48698</v>
      </c>
      <c r="U5" s="21" t="n">
        <v>8.99657768651609</v>
      </c>
      <c r="V5" s="21" t="n">
        <v>7.0362765229295</v>
      </c>
      <c r="W5" s="20" t="s">
        <v>73</v>
      </c>
      <c r="X5" s="23" t="n">
        <v>30600</v>
      </c>
      <c r="Y5" s="24" t="n">
        <v>30373.54</v>
      </c>
      <c r="Z5" s="25" t="n">
        <f aca="false">IFERROR(Y5/L5,"")</f>
        <v>174.560574712644</v>
      </c>
      <c r="AA5" s="23" t="n">
        <f aca="false">IFERROR(Y5/12,"")</f>
        <v>2531.12833333333</v>
      </c>
      <c r="AB5" s="20" t="s">
        <v>86</v>
      </c>
      <c r="AC5" s="21" t="n">
        <v>119.7</v>
      </c>
      <c r="AD5" s="20" t="s">
        <v>69</v>
      </c>
      <c r="AE5" s="14" t="n">
        <v>5100</v>
      </c>
      <c r="AF5" s="26" t="n">
        <v>5100</v>
      </c>
      <c r="AG5" s="20"/>
      <c r="AH5" s="20"/>
      <c r="AI5" s="23"/>
      <c r="AJ5" s="23" t="n">
        <v>532395.048439182</v>
      </c>
      <c r="AK5" s="23" t="n">
        <v>419045.707750269</v>
      </c>
      <c r="AL5" s="20"/>
      <c r="AM5" s="20"/>
      <c r="AN5" s="20"/>
      <c r="AO5" s="22"/>
      <c r="AP5" s="23"/>
      <c r="AQ5" s="23"/>
      <c r="AR5" s="23" t="n">
        <f aca="false">IFERROR(Y5/0.07,0)</f>
        <v>433907.714285714</v>
      </c>
      <c r="AS5" s="25" t="n">
        <f aca="false">IFERROR(O5/L5,"")</f>
        <v>511.302475780409</v>
      </c>
      <c r="AT5" s="23"/>
      <c r="AV5" s="17" t="str">
        <f aca="false">IF(AND(ISNUMBER(AT5),ISNUMBER(AU5)),AU5-AT5,"")</f>
        <v/>
      </c>
      <c r="AW5" s="23"/>
      <c r="AX5" s="20" t="s">
        <v>87</v>
      </c>
      <c r="AY5" s="27" t="n">
        <v>0.0001</v>
      </c>
      <c r="AZ5" s="27" t="n">
        <v>0.0001</v>
      </c>
      <c r="BA5" s="27" t="n">
        <v>0.4999</v>
      </c>
      <c r="BB5" s="27" t="n">
        <v>0.4999</v>
      </c>
      <c r="BC5" s="20"/>
      <c r="BD5" s="19"/>
      <c r="BE5" s="19"/>
      <c r="BF5" s="19"/>
      <c r="BG5" s="19"/>
      <c r="BH5" s="19"/>
      <c r="BI5" s="20"/>
      <c r="BJ5" s="20" t="s">
        <v>88</v>
      </c>
    </row>
    <row r="6" customFormat="false" ht="33.75" hidden="false" customHeight="true" outlineLevel="0" collapsed="false">
      <c r="A6" s="8" t="n">
        <v>3</v>
      </c>
      <c r="B6" s="9" t="s">
        <v>64</v>
      </c>
      <c r="C6" s="9" t="s">
        <v>65</v>
      </c>
      <c r="D6" s="9" t="s">
        <v>66</v>
      </c>
      <c r="E6" s="9" t="s">
        <v>67</v>
      </c>
      <c r="F6" s="9" t="s">
        <v>64</v>
      </c>
      <c r="G6" s="9" t="s">
        <v>68</v>
      </c>
      <c r="H6" s="9" t="s">
        <v>69</v>
      </c>
      <c r="I6" s="9" t="s">
        <v>89</v>
      </c>
      <c r="J6" s="10" t="n">
        <v>1265</v>
      </c>
      <c r="K6" s="10"/>
      <c r="L6" s="10" t="n">
        <v>43.4</v>
      </c>
      <c r="M6" s="11" t="n">
        <v>44558</v>
      </c>
      <c r="N6" s="12"/>
      <c r="O6" s="12" t="n">
        <v>22190.5274488698</v>
      </c>
      <c r="P6" s="12" t="n">
        <v>1956.27018299247</v>
      </c>
      <c r="Q6" s="9" t="s">
        <v>90</v>
      </c>
      <c r="R6" s="9" t="s">
        <v>91</v>
      </c>
      <c r="S6" s="11" t="n">
        <v>45261</v>
      </c>
      <c r="T6" s="11" t="n">
        <v>47452</v>
      </c>
      <c r="U6" s="10" t="n">
        <v>5.99863107460643</v>
      </c>
      <c r="V6" s="10" t="n">
        <v>3.6249144421629</v>
      </c>
      <c r="W6" s="9" t="s">
        <v>73</v>
      </c>
      <c r="X6" s="12" t="n">
        <v>10740</v>
      </c>
      <c r="Y6" s="12" t="n">
        <v>11100.96</v>
      </c>
      <c r="Z6" s="13" t="n">
        <f aca="false">IFERROR(Y6/L6,"")</f>
        <v>255.782488479263</v>
      </c>
      <c r="AA6" s="12" t="n">
        <f aca="false">IFERROR(Y6/12,"")</f>
        <v>925.08</v>
      </c>
      <c r="AB6" s="9" t="s">
        <v>92</v>
      </c>
      <c r="AC6" s="10" t="n">
        <v>119.7</v>
      </c>
      <c r="AD6" s="9" t="s">
        <v>69</v>
      </c>
      <c r="AE6" s="14" t="n">
        <v>895</v>
      </c>
      <c r="AF6" s="26" t="n">
        <v>895</v>
      </c>
      <c r="AG6" s="9"/>
      <c r="AH6" s="9"/>
      <c r="AI6" s="12"/>
      <c r="AJ6" s="12" t="n">
        <v>132792.787944026</v>
      </c>
      <c r="AK6" s="12" t="n">
        <v>104520.596071044</v>
      </c>
      <c r="AL6" s="9"/>
      <c r="AM6" s="9"/>
      <c r="AN6" s="9"/>
      <c r="AO6" s="11"/>
      <c r="AP6" s="12"/>
      <c r="AQ6" s="12"/>
      <c r="AR6" s="12" t="n">
        <f aca="false">IFERROR(Y6/0.07,0)</f>
        <v>158585.142857143</v>
      </c>
      <c r="AS6" s="13" t="n">
        <f aca="false">IFERROR(O6/L6,"")</f>
        <v>511.30247578041</v>
      </c>
      <c r="AT6" s="16" t="n">
        <v>600</v>
      </c>
      <c r="AV6" s="17" t="str">
        <f aca="false">IF(AND(ISNUMBER(AT6),ISNUMBER(AU6)),AU6-AT6,"")</f>
        <v/>
      </c>
      <c r="AW6" s="12"/>
      <c r="AX6" s="9" t="s">
        <v>87</v>
      </c>
      <c r="AY6" s="18" t="n">
        <v>0.0001</v>
      </c>
      <c r="AZ6" s="18" t="n">
        <v>0.0001</v>
      </c>
      <c r="BA6" s="18" t="n">
        <v>0.4999</v>
      </c>
      <c r="BB6" s="18" t="n">
        <v>0.4999</v>
      </c>
      <c r="BC6" s="9"/>
      <c r="BD6" s="8"/>
      <c r="BE6" s="8"/>
      <c r="BF6" s="8"/>
      <c r="BG6" s="8"/>
      <c r="BH6" s="8"/>
      <c r="BI6" s="9"/>
      <c r="BJ6" s="9" t="s">
        <v>82</v>
      </c>
    </row>
    <row r="7" customFormat="false" ht="33.75" hidden="false" customHeight="true" outlineLevel="0" collapsed="false">
      <c r="A7" s="19" t="n">
        <v>4</v>
      </c>
      <c r="B7" s="20" t="s">
        <v>64</v>
      </c>
      <c r="C7" s="20" t="s">
        <v>65</v>
      </c>
      <c r="D7" s="20" t="s">
        <v>66</v>
      </c>
      <c r="E7" s="20" t="s">
        <v>67</v>
      </c>
      <c r="F7" s="20" t="s">
        <v>64</v>
      </c>
      <c r="G7" s="20" t="s">
        <v>68</v>
      </c>
      <c r="H7" s="20" t="s">
        <v>69</v>
      </c>
      <c r="I7" s="20" t="s">
        <v>93</v>
      </c>
      <c r="J7" s="21" t="n">
        <v>1265</v>
      </c>
      <c r="K7" s="21"/>
      <c r="L7" s="21" t="n">
        <v>27.7</v>
      </c>
      <c r="M7" s="22" t="n">
        <v>44558</v>
      </c>
      <c r="N7" s="23"/>
      <c r="O7" s="23" t="n">
        <v>14163.0785791173</v>
      </c>
      <c r="P7" s="23" t="n">
        <v>1248.58719052745</v>
      </c>
      <c r="Q7" s="20" t="s">
        <v>94</v>
      </c>
      <c r="R7" s="20" t="s">
        <v>91</v>
      </c>
      <c r="S7" s="22" t="n">
        <v>45234</v>
      </c>
      <c r="T7" s="22" t="n">
        <v>47425</v>
      </c>
      <c r="U7" s="21" t="n">
        <v>5.99863107460643</v>
      </c>
      <c r="V7" s="21" t="n">
        <v>3.55099247091034</v>
      </c>
      <c r="W7" s="20" t="s">
        <v>73</v>
      </c>
      <c r="X7" s="23" t="n">
        <v>7080</v>
      </c>
      <c r="Y7" s="23" t="n">
        <v>7317.96</v>
      </c>
      <c r="Z7" s="25" t="n">
        <f aca="false">IFERROR(Y7/L7,"")</f>
        <v>264.186281588448</v>
      </c>
      <c r="AA7" s="23" t="n">
        <f aca="false">IFERROR(Y7/12,"")</f>
        <v>609.83</v>
      </c>
      <c r="AB7" s="20" t="s">
        <v>92</v>
      </c>
      <c r="AC7" s="21" t="n">
        <v>119.7</v>
      </c>
      <c r="AD7" s="20" t="s">
        <v>69</v>
      </c>
      <c r="AE7" s="14" t="n">
        <v>590</v>
      </c>
      <c r="AF7" s="26" t="n">
        <v>590</v>
      </c>
      <c r="AG7" s="20"/>
      <c r="AH7" s="20"/>
      <c r="AI7" s="23"/>
      <c r="AJ7" s="23" t="n">
        <v>84754.8439181916</v>
      </c>
      <c r="AK7" s="23" t="n">
        <v>66710.1500269107</v>
      </c>
      <c r="AL7" s="20"/>
      <c r="AM7" s="20"/>
      <c r="AN7" s="20"/>
      <c r="AO7" s="22"/>
      <c r="AP7" s="23"/>
      <c r="AQ7" s="23"/>
      <c r="AR7" s="23" t="n">
        <f aca="false">IFERROR(Y7/0.07,0)</f>
        <v>104542.285714286</v>
      </c>
      <c r="AS7" s="25" t="n">
        <f aca="false">IFERROR(O7/L7,"")</f>
        <v>511.302475780408</v>
      </c>
      <c r="AT7" s="16" t="n">
        <v>600</v>
      </c>
      <c r="AV7" s="17" t="str">
        <f aca="false">IF(AND(ISNUMBER(AT7),ISNUMBER(AU7)),AU7-AT7,"")</f>
        <v/>
      </c>
      <c r="AW7" s="23"/>
      <c r="AX7" s="20" t="s">
        <v>87</v>
      </c>
      <c r="AY7" s="27" t="n">
        <v>0.0001</v>
      </c>
      <c r="AZ7" s="27" t="n">
        <v>0.0001</v>
      </c>
      <c r="BA7" s="27" t="n">
        <v>0.4999</v>
      </c>
      <c r="BB7" s="27" t="n">
        <v>0.4999</v>
      </c>
      <c r="BC7" s="20"/>
      <c r="BD7" s="19"/>
      <c r="BE7" s="19"/>
      <c r="BF7" s="19"/>
      <c r="BG7" s="19"/>
      <c r="BH7" s="19"/>
      <c r="BI7" s="20"/>
      <c r="BJ7" s="20" t="s">
        <v>82</v>
      </c>
    </row>
    <row r="8" customFormat="false" ht="33.75" hidden="false" customHeight="true" outlineLevel="0" collapsed="false">
      <c r="A8" s="8" t="n">
        <v>5</v>
      </c>
      <c r="B8" s="9" t="s">
        <v>64</v>
      </c>
      <c r="C8" s="9" t="s">
        <v>65</v>
      </c>
      <c r="D8" s="9" t="s">
        <v>66</v>
      </c>
      <c r="E8" s="9" t="s">
        <v>67</v>
      </c>
      <c r="F8" s="9" t="s">
        <v>64</v>
      </c>
      <c r="G8" s="9" t="s">
        <v>68</v>
      </c>
      <c r="H8" s="9" t="s">
        <v>69</v>
      </c>
      <c r="I8" s="9" t="s">
        <v>95</v>
      </c>
      <c r="J8" s="10" t="n">
        <v>1265</v>
      </c>
      <c r="K8" s="10"/>
      <c r="L8" s="10" t="n">
        <v>45.4</v>
      </c>
      <c r="M8" s="11" t="n">
        <v>44558</v>
      </c>
      <c r="N8" s="12"/>
      <c r="O8" s="12" t="n">
        <v>23213.1324004306</v>
      </c>
      <c r="P8" s="12" t="n">
        <v>2046.42088266954</v>
      </c>
      <c r="Q8" s="9" t="s">
        <v>96</v>
      </c>
      <c r="R8" s="9" t="s">
        <v>91</v>
      </c>
      <c r="S8" s="11" t="n">
        <v>45428</v>
      </c>
      <c r="T8" s="11" t="n">
        <v>47618</v>
      </c>
      <c r="U8" s="10" t="n">
        <v>5.9958932238193</v>
      </c>
      <c r="V8" s="10" t="n">
        <v>4.07939767282683</v>
      </c>
      <c r="W8" s="9" t="s">
        <v>73</v>
      </c>
      <c r="X8" s="12" t="n">
        <v>10440</v>
      </c>
      <c r="Y8" s="12" t="n">
        <v>10586.28</v>
      </c>
      <c r="Z8" s="13" t="n">
        <f aca="false">IFERROR(Y8/L8,"")</f>
        <v>233.177973568282</v>
      </c>
      <c r="AA8" s="12" t="n">
        <f aca="false">IFERROR(Y8/12,"")</f>
        <v>882.19</v>
      </c>
      <c r="AB8" s="9" t="s">
        <v>97</v>
      </c>
      <c r="AC8" s="10" t="n">
        <v>119.7</v>
      </c>
      <c r="AD8" s="9" t="s">
        <v>69</v>
      </c>
      <c r="AE8" s="14" t="n">
        <v>870</v>
      </c>
      <c r="AF8" s="26" t="n">
        <v>870</v>
      </c>
      <c r="AG8" s="9"/>
      <c r="AH8" s="9"/>
      <c r="AI8" s="12"/>
      <c r="AJ8" s="12" t="n">
        <v>138912.271259419</v>
      </c>
      <c r="AK8" s="12" t="n">
        <v>109337.213401507</v>
      </c>
      <c r="AL8" s="9"/>
      <c r="AM8" s="9"/>
      <c r="AN8" s="9"/>
      <c r="AO8" s="11"/>
      <c r="AP8" s="12"/>
      <c r="AQ8" s="12"/>
      <c r="AR8" s="12" t="n">
        <f aca="false">IFERROR(Y8/0.07,0)</f>
        <v>151232.571428571</v>
      </c>
      <c r="AS8" s="13" t="n">
        <f aca="false">IFERROR(O8/L8,"")</f>
        <v>511.30247578041</v>
      </c>
      <c r="AT8" s="16" t="n">
        <v>1200</v>
      </c>
      <c r="AV8" s="17" t="str">
        <f aca="false">IF(AND(ISNUMBER(AT8),ISNUMBER(AU8)),AU8-AT8,"")</f>
        <v/>
      </c>
      <c r="AW8" s="12"/>
      <c r="AX8" s="9" t="s">
        <v>87</v>
      </c>
      <c r="AY8" s="18" t="n">
        <v>0.0001</v>
      </c>
      <c r="AZ8" s="18" t="n">
        <v>0.0001</v>
      </c>
      <c r="BA8" s="18" t="n">
        <v>0.4999</v>
      </c>
      <c r="BB8" s="18" t="n">
        <v>0.4999</v>
      </c>
      <c r="BC8" s="9"/>
      <c r="BD8" s="8"/>
      <c r="BE8" s="8"/>
      <c r="BF8" s="8"/>
      <c r="BG8" s="8"/>
      <c r="BH8" s="8"/>
      <c r="BI8" s="9"/>
      <c r="BJ8" s="9" t="s">
        <v>82</v>
      </c>
    </row>
    <row r="9" customFormat="false" ht="33.75" hidden="false" customHeight="true" outlineLevel="0" collapsed="false">
      <c r="A9" s="19" t="n">
        <v>6</v>
      </c>
      <c r="B9" s="20" t="s">
        <v>64</v>
      </c>
      <c r="C9" s="20" t="s">
        <v>65</v>
      </c>
      <c r="D9" s="20" t="s">
        <v>66</v>
      </c>
      <c r="E9" s="20" t="s">
        <v>67</v>
      </c>
      <c r="F9" s="20" t="s">
        <v>64</v>
      </c>
      <c r="G9" s="20" t="s">
        <v>68</v>
      </c>
      <c r="H9" s="20" t="s">
        <v>69</v>
      </c>
      <c r="I9" s="20" t="s">
        <v>98</v>
      </c>
      <c r="J9" s="21" t="n">
        <v>1265</v>
      </c>
      <c r="K9" s="21"/>
      <c r="L9" s="21" t="n">
        <v>57.7</v>
      </c>
      <c r="M9" s="22" t="n">
        <v>44558</v>
      </c>
      <c r="N9" s="23"/>
      <c r="O9" s="23" t="n">
        <v>29502.1528525296</v>
      </c>
      <c r="P9" s="23" t="n">
        <v>2600.84768568353</v>
      </c>
      <c r="Q9" s="20" t="s">
        <v>99</v>
      </c>
      <c r="R9" s="20" t="s">
        <v>91</v>
      </c>
      <c r="S9" s="22" t="n">
        <v>45444</v>
      </c>
      <c r="T9" s="22" t="n">
        <v>47634</v>
      </c>
      <c r="U9" s="21" t="n">
        <v>5.9958932238193</v>
      </c>
      <c r="V9" s="21" t="n">
        <v>4.12320328542095</v>
      </c>
      <c r="W9" s="20" t="s">
        <v>73</v>
      </c>
      <c r="X9" s="23" t="n">
        <v>12780</v>
      </c>
      <c r="Y9" s="23" t="n">
        <v>12959.04</v>
      </c>
      <c r="Z9" s="25" t="n">
        <f aca="false">IFERROR(Y9/L9,"")</f>
        <v>224.593414211438</v>
      </c>
      <c r="AA9" s="23" t="n">
        <f aca="false">IFERROR(Y9/12,"")</f>
        <v>1079.92</v>
      </c>
      <c r="AB9" s="20" t="s">
        <v>97</v>
      </c>
      <c r="AC9" s="21" t="n">
        <v>119.7</v>
      </c>
      <c r="AD9" s="20" t="s">
        <v>69</v>
      </c>
      <c r="AE9" s="14" t="n">
        <v>1065</v>
      </c>
      <c r="AF9" s="26" t="n">
        <v>1065</v>
      </c>
      <c r="AG9" s="20"/>
      <c r="AH9" s="20"/>
      <c r="AI9" s="23"/>
      <c r="AJ9" s="23" t="n">
        <v>176547.093649085</v>
      </c>
      <c r="AK9" s="23" t="n">
        <v>138959.409983854</v>
      </c>
      <c r="AL9" s="20"/>
      <c r="AM9" s="20"/>
      <c r="AN9" s="20"/>
      <c r="AO9" s="22"/>
      <c r="AP9" s="23"/>
      <c r="AQ9" s="23"/>
      <c r="AR9" s="23" t="n">
        <f aca="false">IFERROR(Y9/0.07,0)</f>
        <v>185129.142857143</v>
      </c>
      <c r="AS9" s="25" t="n">
        <f aca="false">IFERROR(O9/L9,"")</f>
        <v>511.302475780409</v>
      </c>
      <c r="AT9" s="16" t="n">
        <v>1200</v>
      </c>
      <c r="AV9" s="17" t="str">
        <f aca="false">IF(AND(ISNUMBER(AT9),ISNUMBER(AU9)),AU9-AT9,"")</f>
        <v/>
      </c>
      <c r="AW9" s="23"/>
      <c r="AX9" s="20" t="s">
        <v>87</v>
      </c>
      <c r="AY9" s="27" t="n">
        <v>0.0001</v>
      </c>
      <c r="AZ9" s="27" t="n">
        <v>0.0001</v>
      </c>
      <c r="BA9" s="27" t="n">
        <v>0.4999</v>
      </c>
      <c r="BB9" s="27" t="n">
        <v>0.4999</v>
      </c>
      <c r="BC9" s="20"/>
      <c r="BD9" s="19"/>
      <c r="BE9" s="19"/>
      <c r="BF9" s="19"/>
      <c r="BG9" s="19"/>
      <c r="BH9" s="19"/>
      <c r="BI9" s="20"/>
      <c r="BJ9" s="20" t="s">
        <v>82</v>
      </c>
    </row>
    <row r="10" customFormat="false" ht="33.75" hidden="false" customHeight="true" outlineLevel="0" collapsed="false">
      <c r="A10" s="8" t="n">
        <v>7</v>
      </c>
      <c r="B10" s="9" t="s">
        <v>64</v>
      </c>
      <c r="C10" s="9" t="s">
        <v>65</v>
      </c>
      <c r="D10" s="9" t="s">
        <v>66</v>
      </c>
      <c r="E10" s="9" t="s">
        <v>67</v>
      </c>
      <c r="F10" s="9" t="s">
        <v>64</v>
      </c>
      <c r="G10" s="9" t="s">
        <v>68</v>
      </c>
      <c r="H10" s="9" t="s">
        <v>69</v>
      </c>
      <c r="I10" s="9" t="s">
        <v>100</v>
      </c>
      <c r="J10" s="10" t="n">
        <v>1265</v>
      </c>
      <c r="K10" s="10"/>
      <c r="L10" s="10" t="n">
        <v>57.7</v>
      </c>
      <c r="M10" s="11" t="n">
        <v>44558</v>
      </c>
      <c r="N10" s="12"/>
      <c r="O10" s="12" t="n">
        <v>29502.1528525296</v>
      </c>
      <c r="P10" s="12" t="n">
        <v>2600.84768568353</v>
      </c>
      <c r="Q10" s="9" t="s">
        <v>101</v>
      </c>
      <c r="R10" s="9" t="s">
        <v>91</v>
      </c>
      <c r="S10" s="11" t="n">
        <v>46073</v>
      </c>
      <c r="T10" s="11" t="n">
        <v>47168</v>
      </c>
      <c r="U10" s="10" t="n">
        <v>2.99794661190965</v>
      </c>
      <c r="V10" s="10" t="n">
        <v>2.84736481861739</v>
      </c>
      <c r="W10" s="9" t="s">
        <v>73</v>
      </c>
      <c r="X10" s="12" t="n">
        <v>12959.04</v>
      </c>
      <c r="Y10" s="12" t="n">
        <v>12959.04</v>
      </c>
      <c r="Z10" s="13" t="n">
        <f aca="false">IFERROR(Y10/L10,"")</f>
        <v>224.593414211438</v>
      </c>
      <c r="AA10" s="12" t="n">
        <f aca="false">IFERROR(Y10/12,"")</f>
        <v>1079.92</v>
      </c>
      <c r="AB10" s="9" t="s">
        <v>97</v>
      </c>
      <c r="AC10" s="10" t="n">
        <v>119.7</v>
      </c>
      <c r="AD10" s="9" t="s">
        <v>69</v>
      </c>
      <c r="AE10" s="14" t="n">
        <v>1079</v>
      </c>
      <c r="AF10" s="26" t="n">
        <v>1079</v>
      </c>
      <c r="AG10" s="9"/>
      <c r="AH10" s="9"/>
      <c r="AI10" s="12"/>
      <c r="AJ10" s="12" t="n">
        <v>176547.093649085</v>
      </c>
      <c r="AK10" s="12" t="n">
        <v>138959.409983854</v>
      </c>
      <c r="AL10" s="9"/>
      <c r="AM10" s="9"/>
      <c r="AN10" s="9"/>
      <c r="AO10" s="11"/>
      <c r="AP10" s="12"/>
      <c r="AQ10" s="12"/>
      <c r="AR10" s="12" t="n">
        <f aca="false">IFERROR(Y10/0.07,0)</f>
        <v>185129.142857143</v>
      </c>
      <c r="AS10" s="13" t="n">
        <f aca="false">IFERROR(O10/L10,"")</f>
        <v>511.302475780409</v>
      </c>
      <c r="AT10" s="16" t="n">
        <v>1200</v>
      </c>
      <c r="AV10" s="17" t="str">
        <f aca="false">IF(AND(ISNUMBER(AT10),ISNUMBER(AU10)),AU10-AT10,"")</f>
        <v/>
      </c>
      <c r="AW10" s="12"/>
      <c r="AX10" s="9" t="s">
        <v>87</v>
      </c>
      <c r="AY10" s="18" t="n">
        <v>0.0001</v>
      </c>
      <c r="AZ10" s="18" t="n">
        <v>0.0001</v>
      </c>
      <c r="BA10" s="18" t="n">
        <v>0.4999</v>
      </c>
      <c r="BB10" s="18" t="n">
        <v>0.4999</v>
      </c>
      <c r="BC10" s="9"/>
      <c r="BD10" s="8"/>
      <c r="BE10" s="8"/>
      <c r="BF10" s="8"/>
      <c r="BG10" s="8"/>
      <c r="BH10" s="8"/>
      <c r="BI10" s="9"/>
      <c r="BJ10" s="9" t="s">
        <v>102</v>
      </c>
    </row>
    <row r="11" customFormat="false" ht="33.75" hidden="false" customHeight="true" outlineLevel="0" collapsed="false">
      <c r="A11" s="19" t="n">
        <v>8</v>
      </c>
      <c r="B11" s="20" t="s">
        <v>103</v>
      </c>
      <c r="C11" s="20" t="s">
        <v>104</v>
      </c>
      <c r="D11" s="20" t="s">
        <v>105</v>
      </c>
      <c r="E11" s="20" t="s">
        <v>106</v>
      </c>
      <c r="F11" s="20" t="s">
        <v>107</v>
      </c>
      <c r="G11" s="20" t="s">
        <v>108</v>
      </c>
      <c r="H11" s="20" t="s">
        <v>69</v>
      </c>
      <c r="I11" s="20" t="s">
        <v>109</v>
      </c>
      <c r="J11" s="21"/>
      <c r="K11" s="21" t="n">
        <v>398.1</v>
      </c>
      <c r="L11" s="16" t="n">
        <v>203</v>
      </c>
      <c r="M11" s="22" t="n">
        <v>44751</v>
      </c>
      <c r="N11" s="23" t="n">
        <v>352908</v>
      </c>
      <c r="O11" s="23" t="n">
        <v>352908</v>
      </c>
      <c r="P11" s="23"/>
      <c r="Q11" s="20" t="s">
        <v>110</v>
      </c>
      <c r="R11" s="20" t="s">
        <v>72</v>
      </c>
      <c r="S11" s="22" t="n">
        <v>44927</v>
      </c>
      <c r="T11" s="22" t="n">
        <v>49340</v>
      </c>
      <c r="U11" s="21" t="n">
        <v>12.082135523614</v>
      </c>
      <c r="V11" s="21" t="n">
        <v>8.79397672826831</v>
      </c>
      <c r="W11" s="20" t="s">
        <v>73</v>
      </c>
      <c r="X11" s="23" t="n">
        <v>59090</v>
      </c>
      <c r="Y11" s="23" t="n">
        <v>35880</v>
      </c>
      <c r="Z11" s="25" t="n">
        <f aca="false">IFERROR(Y11/L11,"")</f>
        <v>176.748768472906</v>
      </c>
      <c r="AA11" s="23" t="n">
        <f aca="false">IFERROR(Y11/12,"")</f>
        <v>2990</v>
      </c>
      <c r="AB11" s="20" t="s">
        <v>74</v>
      </c>
      <c r="AC11" s="21" t="n">
        <v>126.13</v>
      </c>
      <c r="AD11" s="20" t="s">
        <v>69</v>
      </c>
      <c r="AE11" s="14" t="n">
        <v>21750</v>
      </c>
      <c r="AF11" s="28" t="n">
        <v>14772</v>
      </c>
      <c r="AG11" s="20" t="s">
        <v>111</v>
      </c>
      <c r="AH11" s="20" t="s">
        <v>112</v>
      </c>
      <c r="AI11" s="23" t="n">
        <v>377612</v>
      </c>
      <c r="AJ11" s="23" t="n">
        <v>377612</v>
      </c>
      <c r="AK11" s="23" t="n">
        <v>309356</v>
      </c>
      <c r="AL11" s="20" t="n">
        <v>0.018</v>
      </c>
      <c r="AM11" s="20" t="n">
        <v>0.00087</v>
      </c>
      <c r="AN11" s="20" t="n">
        <v>15</v>
      </c>
      <c r="AO11" s="22" t="n">
        <v>50228</v>
      </c>
      <c r="AP11" s="23"/>
      <c r="AQ11" s="23"/>
      <c r="AR11" s="23" t="n">
        <f aca="false">IFERROR(Y11/0.07,0)</f>
        <v>512571.428571429</v>
      </c>
      <c r="AS11" s="25" t="n">
        <f aca="false">IFERROR(O11/L11,"")</f>
        <v>1738.46305418719</v>
      </c>
      <c r="AT11" s="16" t="n">
        <v>7250</v>
      </c>
      <c r="AU11" s="14" t="n">
        <v>7151.35</v>
      </c>
      <c r="AV11" s="17" t="n">
        <f aca="false">IF(AND(ISNUMBER(AT11),ISNUMBER(AU11)),AU11-AT11,"")</f>
        <v>-98.6499999999996</v>
      </c>
      <c r="AW11" s="23"/>
      <c r="AX11" s="20" t="s">
        <v>113</v>
      </c>
      <c r="AY11" s="27" t="n">
        <v>0.0001</v>
      </c>
      <c r="AZ11" s="27" t="n">
        <v>0.0001</v>
      </c>
      <c r="BA11" s="27" t="n">
        <v>0.4999</v>
      </c>
      <c r="BB11" s="27" t="n">
        <v>0.4999</v>
      </c>
      <c r="BC11" s="20"/>
      <c r="BD11" s="19" t="n">
        <v>83</v>
      </c>
      <c r="BE11" s="19" t="n">
        <v>78</v>
      </c>
      <c r="BF11" s="19" t="n">
        <v>3</v>
      </c>
      <c r="BG11" s="19" t="n">
        <v>20</v>
      </c>
      <c r="BH11" s="19" t="n">
        <v>55</v>
      </c>
      <c r="BI11" s="20" t="s">
        <v>114</v>
      </c>
      <c r="BJ11" s="20" t="s">
        <v>115</v>
      </c>
    </row>
    <row r="12" customFormat="false" ht="33.75" hidden="false" customHeight="true" outlineLevel="0" collapsed="false">
      <c r="A12" s="8" t="n">
        <v>9</v>
      </c>
      <c r="B12" s="9" t="s">
        <v>103</v>
      </c>
      <c r="C12" s="9" t="s">
        <v>104</v>
      </c>
      <c r="D12" s="9" t="s">
        <v>116</v>
      </c>
      <c r="E12" s="9" t="s">
        <v>117</v>
      </c>
      <c r="F12" s="9" t="s">
        <v>118</v>
      </c>
      <c r="G12" s="9"/>
      <c r="H12" s="9" t="s">
        <v>119</v>
      </c>
      <c r="I12" s="9" t="s">
        <v>120</v>
      </c>
      <c r="J12" s="10"/>
      <c r="K12" s="10"/>
      <c r="L12" s="10" t="n">
        <v>201</v>
      </c>
      <c r="M12" s="11" t="n">
        <v>44749</v>
      </c>
      <c r="N12" s="12" t="n">
        <v>665000</v>
      </c>
      <c r="O12" s="12" t="n">
        <v>665000</v>
      </c>
      <c r="P12" s="12"/>
      <c r="Q12" s="9" t="s">
        <v>121</v>
      </c>
      <c r="R12" s="9" t="s">
        <v>72</v>
      </c>
      <c r="S12" s="11" t="n">
        <v>44927</v>
      </c>
      <c r="T12" s="11" t="n">
        <v>48244</v>
      </c>
      <c r="U12" s="10" t="n">
        <v>9.08145106091718</v>
      </c>
      <c r="V12" s="10" t="n">
        <v>5.79329226557153</v>
      </c>
      <c r="W12" s="9" t="s">
        <v>122</v>
      </c>
      <c r="X12" s="12" t="n">
        <v>55000</v>
      </c>
      <c r="Y12" s="12" t="n">
        <v>54779.2</v>
      </c>
      <c r="Z12" s="13" t="n">
        <f aca="false">IFERROR(Y12/L12,"")</f>
        <v>272.533333333333</v>
      </c>
      <c r="AA12" s="12" t="n">
        <f aca="false">IFERROR(Y12/12,"")</f>
        <v>4564.93333333333</v>
      </c>
      <c r="AB12" s="9" t="s">
        <v>74</v>
      </c>
      <c r="AC12" s="10" t="n">
        <v>126.13</v>
      </c>
      <c r="AD12" s="9" t="s">
        <v>69</v>
      </c>
      <c r="AE12" s="14" t="n">
        <v>13750</v>
      </c>
      <c r="AF12" s="15" t="n">
        <v>13750</v>
      </c>
      <c r="AG12" s="9" t="s">
        <v>123</v>
      </c>
      <c r="AH12" s="9" t="s">
        <v>124</v>
      </c>
      <c r="AI12" s="12" t="n">
        <v>665000</v>
      </c>
      <c r="AJ12" s="12" t="n">
        <v>665000</v>
      </c>
      <c r="AK12" s="12" t="n">
        <v>553110</v>
      </c>
      <c r="AL12" s="9" t="n">
        <v>0.014</v>
      </c>
      <c r="AM12" s="9" t="s">
        <v>78</v>
      </c>
      <c r="AN12" s="9" t="n">
        <v>15</v>
      </c>
      <c r="AO12" s="11" t="n">
        <v>50469</v>
      </c>
      <c r="AP12" s="12"/>
      <c r="AQ12" s="12"/>
      <c r="AR12" s="12" t="n">
        <f aca="false">IFERROR(Y12/0.07,0)</f>
        <v>782560</v>
      </c>
      <c r="AS12" s="13" t="n">
        <f aca="false">IFERROR(O12/L12,"")</f>
        <v>3308.45771144279</v>
      </c>
      <c r="AT12" s="16" t="n">
        <v>4698.34</v>
      </c>
      <c r="AU12" s="14" t="n">
        <v>4698.34</v>
      </c>
      <c r="AV12" s="17" t="n">
        <f aca="false">IF(AND(ISNUMBER(AT12),ISNUMBER(AU12)),AU12-AT12,"")</f>
        <v>0</v>
      </c>
      <c r="AW12" s="12"/>
      <c r="AX12" s="9" t="s">
        <v>80</v>
      </c>
      <c r="AY12" s="18" t="n">
        <v>0.0001</v>
      </c>
      <c r="AZ12" s="18" t="n">
        <v>0.0001</v>
      </c>
      <c r="BA12" s="18" t="n">
        <v>0.4999</v>
      </c>
      <c r="BB12" s="18" t="n">
        <v>0.4999</v>
      </c>
      <c r="BC12" s="9"/>
      <c r="BD12" s="8" t="n">
        <v>77</v>
      </c>
      <c r="BE12" s="8" t="n">
        <v>74</v>
      </c>
      <c r="BF12" s="8" t="n">
        <v>1</v>
      </c>
      <c r="BG12" s="8" t="n">
        <v>20</v>
      </c>
      <c r="BH12" s="8" t="n">
        <v>44</v>
      </c>
      <c r="BI12" s="9" t="s">
        <v>125</v>
      </c>
      <c r="BJ12" s="9" t="s">
        <v>126</v>
      </c>
    </row>
    <row r="13" customFormat="false" ht="33.75" hidden="false" customHeight="true" outlineLevel="0" collapsed="false">
      <c r="A13" s="19" t="n">
        <v>10</v>
      </c>
      <c r="B13" s="20" t="s">
        <v>127</v>
      </c>
      <c r="C13" s="20" t="s">
        <v>128</v>
      </c>
      <c r="D13" s="20" t="s">
        <v>129</v>
      </c>
      <c r="E13" s="20" t="s">
        <v>130</v>
      </c>
      <c r="F13" s="20" t="s">
        <v>131</v>
      </c>
      <c r="G13" s="20"/>
      <c r="H13" s="20" t="s">
        <v>119</v>
      </c>
      <c r="I13" s="20" t="s">
        <v>132</v>
      </c>
      <c r="J13" s="21"/>
      <c r="K13" s="21" t="n">
        <v>311.4</v>
      </c>
      <c r="L13" s="21" t="n">
        <v>311.4</v>
      </c>
      <c r="M13" s="22" t="n">
        <v>45055</v>
      </c>
      <c r="N13" s="23" t="n">
        <v>840000</v>
      </c>
      <c r="O13" s="23" t="n">
        <v>840000</v>
      </c>
      <c r="P13" s="23" t="n">
        <v>65272.03</v>
      </c>
      <c r="Q13" s="20" t="s">
        <v>133</v>
      </c>
      <c r="R13" s="20" t="s">
        <v>72</v>
      </c>
      <c r="S13" s="22" t="n">
        <v>45292</v>
      </c>
      <c r="T13" s="29" t="n">
        <v>48944</v>
      </c>
      <c r="U13" s="21" t="n">
        <v>9.99863107460643</v>
      </c>
      <c r="V13" s="21" t="n">
        <v>7.709787816564</v>
      </c>
      <c r="W13" s="20" t="s">
        <v>134</v>
      </c>
      <c r="X13" s="23" t="n">
        <v>86100</v>
      </c>
      <c r="Y13" s="23" t="n">
        <v>88309.48</v>
      </c>
      <c r="Z13" s="25" t="n">
        <f aca="false">IFERROR(Y13/L13,"")</f>
        <v>283.58856775851</v>
      </c>
      <c r="AA13" s="23" t="n">
        <f aca="false">IFERROR(Y13/12,"")</f>
        <v>7359.12333333333</v>
      </c>
      <c r="AB13" s="20" t="s">
        <v>74</v>
      </c>
      <c r="AC13" s="21" t="n">
        <v>133.66</v>
      </c>
      <c r="AD13" s="20" t="s">
        <v>69</v>
      </c>
      <c r="AE13" s="14" t="n">
        <v>21525</v>
      </c>
      <c r="AF13" s="28" t="n">
        <v>21525</v>
      </c>
      <c r="AG13" s="20" t="s">
        <v>135</v>
      </c>
      <c r="AH13" s="20" t="s">
        <v>136</v>
      </c>
      <c r="AI13" s="23" t="n">
        <v>840000</v>
      </c>
      <c r="AJ13" s="23" t="n">
        <v>840000</v>
      </c>
      <c r="AK13" s="23" t="n">
        <v>792257</v>
      </c>
      <c r="AL13" s="20" t="n">
        <v>0.0453</v>
      </c>
      <c r="AM13" s="20" t="s">
        <v>78</v>
      </c>
      <c r="AN13" s="20" t="n">
        <v>15</v>
      </c>
      <c r="AO13" s="22" t="n">
        <v>50724</v>
      </c>
      <c r="AP13" s="23"/>
      <c r="AQ13" s="23"/>
      <c r="AR13" s="23" t="n">
        <f aca="false">IFERROR(Y13/0.07,0)</f>
        <v>1261564</v>
      </c>
      <c r="AS13" s="25" t="n">
        <f aca="false">IFERROR(O13/L13,"")</f>
        <v>2697.49518304432</v>
      </c>
      <c r="AT13" s="16" t="n">
        <v>8610</v>
      </c>
      <c r="AV13" s="17" t="str">
        <f aca="false">IF(AND(ISNUMBER(AT13),ISNUMBER(AU13)),AU13-AT13,"")</f>
        <v/>
      </c>
      <c r="AW13" s="23"/>
      <c r="AX13" s="20" t="s">
        <v>87</v>
      </c>
      <c r="AY13" s="27" t="n">
        <v>0.0001</v>
      </c>
      <c r="AZ13" s="27" t="n">
        <v>0.0001</v>
      </c>
      <c r="BA13" s="27" t="n">
        <v>0.4999</v>
      </c>
      <c r="BB13" s="27" t="n">
        <v>0.4999</v>
      </c>
      <c r="BC13" s="20"/>
      <c r="BD13" s="19" t="n">
        <v>38</v>
      </c>
      <c r="BE13" s="19" t="n">
        <v>35</v>
      </c>
      <c r="BF13" s="19" t="n">
        <v>0</v>
      </c>
      <c r="BG13" s="19" t="n">
        <v>14</v>
      </c>
      <c r="BH13" s="19" t="n">
        <v>15</v>
      </c>
      <c r="BI13" s="20" t="s">
        <v>137</v>
      </c>
      <c r="BJ13" s="20" t="s">
        <v>138</v>
      </c>
    </row>
    <row r="14" customFormat="false" ht="33.75" hidden="false" customHeight="true" outlineLevel="0" collapsed="false">
      <c r="A14" s="8" t="n">
        <v>11</v>
      </c>
      <c r="B14" s="9" t="s">
        <v>127</v>
      </c>
      <c r="C14" s="9" t="s">
        <v>128</v>
      </c>
      <c r="D14" s="9" t="s">
        <v>139</v>
      </c>
      <c r="E14" s="9" t="s">
        <v>140</v>
      </c>
      <c r="F14" s="9" t="s">
        <v>141</v>
      </c>
      <c r="G14" s="9"/>
      <c r="H14" s="9"/>
      <c r="I14" s="9" t="s">
        <v>142</v>
      </c>
      <c r="J14" s="10"/>
      <c r="K14" s="10" t="n">
        <v>206.34</v>
      </c>
      <c r="L14" s="10" t="n">
        <v>206</v>
      </c>
      <c r="M14" s="30" t="s">
        <v>143</v>
      </c>
      <c r="N14" s="12" t="n">
        <v>734000</v>
      </c>
      <c r="O14" s="31" t="n">
        <v>734000</v>
      </c>
      <c r="P14" s="12"/>
      <c r="Q14" s="9" t="s">
        <v>133</v>
      </c>
      <c r="R14" s="9" t="s">
        <v>72</v>
      </c>
      <c r="S14" s="11" t="n">
        <v>45170</v>
      </c>
      <c r="T14" s="11" t="n">
        <v>48822</v>
      </c>
      <c r="U14" s="10" t="n">
        <v>9.99863107460643</v>
      </c>
      <c r="V14" s="10" t="n">
        <v>7.37577002053388</v>
      </c>
      <c r="W14" s="9" t="s">
        <v>134</v>
      </c>
      <c r="X14" s="12" t="n">
        <v>75240</v>
      </c>
      <c r="Y14" s="12" t="n">
        <v>79444.04</v>
      </c>
      <c r="Z14" s="13" t="n">
        <f aca="false">IFERROR(Y14/L14,"")</f>
        <v>385.65067961165</v>
      </c>
      <c r="AA14" s="12" t="n">
        <f aca="false">IFERROR(Y14/12,"")</f>
        <v>6620.33666666667</v>
      </c>
      <c r="AB14" s="9" t="s">
        <v>74</v>
      </c>
      <c r="AC14" s="10" t="n">
        <v>128.68</v>
      </c>
      <c r="AD14" s="9" t="s">
        <v>69</v>
      </c>
      <c r="AE14" s="14" t="n">
        <v>18810</v>
      </c>
      <c r="AF14" s="15" t="n">
        <v>19861</v>
      </c>
      <c r="AG14" s="9" t="s">
        <v>111</v>
      </c>
      <c r="AH14" s="9" t="s">
        <v>112</v>
      </c>
      <c r="AI14" s="12" t="n">
        <v>734000</v>
      </c>
      <c r="AJ14" s="12" t="n">
        <v>734000</v>
      </c>
      <c r="AK14" s="12" t="n">
        <v>685859</v>
      </c>
      <c r="AL14" s="9" t="n">
        <v>0.046</v>
      </c>
      <c r="AM14" s="9" t="s">
        <v>78</v>
      </c>
      <c r="AN14" s="9" t="n">
        <v>15</v>
      </c>
      <c r="AO14" s="11" t="n">
        <v>50614</v>
      </c>
      <c r="AP14" s="12"/>
      <c r="AQ14" s="12"/>
      <c r="AR14" s="12" t="n">
        <f aca="false">IFERROR(Y14/0.07,0)</f>
        <v>1134914.85714286</v>
      </c>
      <c r="AS14" s="13" t="n">
        <f aca="false">IFERROR(O14/L14,"")</f>
        <v>3563.10679611651</v>
      </c>
      <c r="AT14" s="16" t="n">
        <v>9504</v>
      </c>
      <c r="AV14" s="17" t="str">
        <f aca="false">IF(AND(ISNUMBER(AT14),ISNUMBER(AU14)),AU14-AT14,"")</f>
        <v/>
      </c>
      <c r="AW14" s="12"/>
      <c r="AX14" s="9" t="s">
        <v>87</v>
      </c>
      <c r="AY14" s="18" t="n">
        <v>0.0001</v>
      </c>
      <c r="AZ14" s="18" t="n">
        <v>0.0001</v>
      </c>
      <c r="BA14" s="18" t="n">
        <v>0.4999</v>
      </c>
      <c r="BB14" s="18" t="n">
        <v>0.4999</v>
      </c>
      <c r="BC14" s="9"/>
      <c r="BD14" s="8" t="n">
        <v>48</v>
      </c>
      <c r="BE14" s="8" t="n">
        <v>46</v>
      </c>
      <c r="BF14" s="8" t="n">
        <v>0</v>
      </c>
      <c r="BG14" s="8" t="n">
        <v>0</v>
      </c>
      <c r="BH14" s="8" t="n">
        <v>25</v>
      </c>
      <c r="BI14" s="9" t="s">
        <v>144</v>
      </c>
      <c r="BJ14" s="9"/>
    </row>
    <row r="15" customFormat="false" ht="33.75" hidden="false" customHeight="true" outlineLevel="0" collapsed="false">
      <c r="A15" s="8" t="n">
        <v>12</v>
      </c>
      <c r="B15" s="9" t="s">
        <v>145</v>
      </c>
      <c r="C15" s="9" t="s">
        <v>146</v>
      </c>
      <c r="D15" s="9" t="s">
        <v>147</v>
      </c>
      <c r="E15" s="9" t="s">
        <v>148</v>
      </c>
      <c r="F15" s="9" t="s">
        <v>149</v>
      </c>
      <c r="G15" s="9" t="s">
        <v>150</v>
      </c>
      <c r="H15" s="9" t="s">
        <v>119</v>
      </c>
      <c r="I15" s="9" t="s">
        <v>151</v>
      </c>
      <c r="J15" s="10"/>
      <c r="K15" s="10" t="n">
        <v>387.83</v>
      </c>
      <c r="L15" s="10" t="n">
        <v>258.7</v>
      </c>
      <c r="M15" s="11" t="n">
        <v>45128</v>
      </c>
      <c r="N15" s="12" t="n">
        <v>1200000</v>
      </c>
      <c r="O15" s="12" t="n">
        <v>897744.360902256</v>
      </c>
      <c r="P15" s="12" t="n">
        <v>81300.477443609</v>
      </c>
      <c r="Q15" s="9" t="s">
        <v>152</v>
      </c>
      <c r="R15" s="9" t="s">
        <v>72</v>
      </c>
      <c r="S15" s="11" t="n">
        <v>45170</v>
      </c>
      <c r="T15" s="11" t="n">
        <v>48457</v>
      </c>
      <c r="U15" s="10" t="n">
        <v>8.99931553730322</v>
      </c>
      <c r="V15" s="10" t="n">
        <v>6.37645448323066</v>
      </c>
      <c r="W15" s="9" t="s">
        <v>153</v>
      </c>
      <c r="X15" s="12" t="n">
        <v>84000</v>
      </c>
      <c r="Y15" s="12" t="n">
        <v>88693.48</v>
      </c>
      <c r="Z15" s="13" t="n">
        <f aca="false">IFERROR(Y15/L15,"")</f>
        <v>342.842984151527</v>
      </c>
      <c r="AA15" s="12" t="n">
        <f aca="false">IFERROR(Y15/12,"")</f>
        <v>7391.12333333333</v>
      </c>
      <c r="AB15" s="9" t="s">
        <v>74</v>
      </c>
      <c r="AC15" s="10" t="n">
        <v>128.68</v>
      </c>
      <c r="AD15" s="9" t="s">
        <v>69</v>
      </c>
      <c r="AE15" s="14" t="n">
        <v>21000</v>
      </c>
      <c r="AF15" s="15" t="n">
        <v>21000</v>
      </c>
      <c r="AG15" s="9" t="s">
        <v>154</v>
      </c>
      <c r="AH15" s="9" t="s">
        <v>112</v>
      </c>
      <c r="AI15" s="12" t="n">
        <v>1200000</v>
      </c>
      <c r="AJ15" s="12" t="n">
        <v>897744.360902256</v>
      </c>
      <c r="AK15" s="12" t="n">
        <v>817447.112781955</v>
      </c>
      <c r="AL15" s="9" t="n">
        <v>0.051</v>
      </c>
      <c r="AM15" s="9" t="s">
        <v>78</v>
      </c>
      <c r="AN15" s="9" t="n">
        <v>15.5</v>
      </c>
      <c r="AO15" s="11" t="n">
        <v>50795</v>
      </c>
      <c r="AP15" s="12"/>
      <c r="AQ15" s="12"/>
      <c r="AR15" s="12" t="n">
        <f aca="false">IFERROR(Y15/0.07,0)</f>
        <v>1267049.71428571</v>
      </c>
      <c r="AS15" s="13" t="n">
        <f aca="false">IFERROR(O15/L15,"")</f>
        <v>3470.21399652979</v>
      </c>
      <c r="AT15" s="16" t="n">
        <v>8400</v>
      </c>
      <c r="AU15" s="14" t="n">
        <v>5997</v>
      </c>
      <c r="AV15" s="17" t="n">
        <f aca="false">IF(AND(ISNUMBER(AT15),ISNUMBER(AU15)),AU15-AT15,"")</f>
        <v>-2403</v>
      </c>
      <c r="AW15" s="16" t="n">
        <v>2589</v>
      </c>
      <c r="AX15" s="9" t="s">
        <v>155</v>
      </c>
      <c r="AY15" s="18" t="n">
        <v>0.0001</v>
      </c>
      <c r="AZ15" s="18" t="n">
        <v>0.0001</v>
      </c>
      <c r="BA15" s="18" t="n">
        <v>0.4999</v>
      </c>
      <c r="BB15" s="18" t="n">
        <v>0.4999</v>
      </c>
      <c r="BC15" s="9"/>
      <c r="BD15" s="8"/>
      <c r="BE15" s="8"/>
      <c r="BF15" s="8"/>
      <c r="BG15" s="8"/>
      <c r="BH15" s="8"/>
      <c r="BI15" s="9"/>
      <c r="BJ15" s="9" t="s">
        <v>156</v>
      </c>
    </row>
    <row r="16" customFormat="false" ht="33.75" hidden="false" customHeight="true" outlineLevel="0" collapsed="false">
      <c r="A16" s="19" t="n">
        <v>13</v>
      </c>
      <c r="B16" s="20" t="s">
        <v>145</v>
      </c>
      <c r="C16" s="20" t="s">
        <v>157</v>
      </c>
      <c r="D16" s="20" t="s">
        <v>158</v>
      </c>
      <c r="E16" s="20" t="s">
        <v>159</v>
      </c>
      <c r="F16" s="20" t="s">
        <v>160</v>
      </c>
      <c r="G16" s="20"/>
      <c r="H16" s="20" t="s">
        <v>119</v>
      </c>
      <c r="I16" s="20" t="s">
        <v>161</v>
      </c>
      <c r="J16" s="21"/>
      <c r="K16" s="21"/>
      <c r="L16" s="21" t="n">
        <v>396.34</v>
      </c>
      <c r="M16" s="22" t="n">
        <v>45205</v>
      </c>
      <c r="N16" s="23" t="n">
        <v>740000</v>
      </c>
      <c r="O16" s="23" t="n">
        <v>740000</v>
      </c>
      <c r="P16" s="23" t="n">
        <v>65750</v>
      </c>
      <c r="Q16" s="20" t="s">
        <v>162</v>
      </c>
      <c r="R16" s="20" t="s">
        <v>72</v>
      </c>
      <c r="S16" s="22" t="n">
        <v>45292</v>
      </c>
      <c r="T16" s="22" t="n">
        <v>48944</v>
      </c>
      <c r="U16" s="21" t="n">
        <v>9.99863107460643</v>
      </c>
      <c r="V16" s="21" t="n">
        <v>7.709787816564</v>
      </c>
      <c r="W16" s="20" t="s">
        <v>163</v>
      </c>
      <c r="X16" s="23" t="n">
        <v>80000</v>
      </c>
      <c r="Y16" s="23" t="n">
        <v>82424.08</v>
      </c>
      <c r="Z16" s="25" t="n">
        <f aca="false">IFERROR(Y16/L16,"")</f>
        <v>207.96306201746</v>
      </c>
      <c r="AA16" s="23" t="n">
        <f aca="false">IFERROR(Y16/12,"")</f>
        <v>6868.67333333333</v>
      </c>
      <c r="AB16" s="20" t="s">
        <v>74</v>
      </c>
      <c r="AC16" s="21" t="n">
        <v>133.66</v>
      </c>
      <c r="AD16" s="20" t="s">
        <v>69</v>
      </c>
      <c r="AE16" s="14" t="n">
        <v>20000</v>
      </c>
      <c r="AF16" s="28" t="n">
        <v>20000</v>
      </c>
      <c r="AG16" s="20" t="s">
        <v>111</v>
      </c>
      <c r="AH16" s="20" t="s">
        <v>164</v>
      </c>
      <c r="AI16" s="23" t="n">
        <v>740000</v>
      </c>
      <c r="AJ16" s="23" t="n">
        <v>740000</v>
      </c>
      <c r="AK16" s="23" t="n">
        <v>686767</v>
      </c>
      <c r="AL16" s="20" t="n">
        <v>0.046</v>
      </c>
      <c r="AM16" s="20" t="s">
        <v>78</v>
      </c>
      <c r="AN16" s="20" t="n">
        <v>15</v>
      </c>
      <c r="AO16" s="22" t="n">
        <v>50684</v>
      </c>
      <c r="AP16" s="23"/>
      <c r="AQ16" s="23"/>
      <c r="AR16" s="23" t="n">
        <f aca="false">IFERROR(Y16/0.07,0)</f>
        <v>1177486.85714286</v>
      </c>
      <c r="AS16" s="25" t="n">
        <f aca="false">IFERROR(O16/L16,"")</f>
        <v>1867.08381692486</v>
      </c>
      <c r="AT16" s="16" t="n">
        <v>4800</v>
      </c>
      <c r="AU16" s="14" t="n">
        <v>2828</v>
      </c>
      <c r="AV16" s="17" t="n">
        <f aca="false">IF(AND(ISNUMBER(AT16),ISNUMBER(AU16)),AU16-AT16,"")</f>
        <v>-1972</v>
      </c>
      <c r="AW16" s="16" t="n">
        <v>1237</v>
      </c>
      <c r="AX16" s="20" t="s">
        <v>155</v>
      </c>
      <c r="AY16" s="27" t="n">
        <v>0.0001</v>
      </c>
      <c r="AZ16" s="27" t="n">
        <v>0.0001</v>
      </c>
      <c r="BA16" s="27" t="n">
        <v>0.4999</v>
      </c>
      <c r="BB16" s="27" t="n">
        <v>0.4999</v>
      </c>
      <c r="BC16" s="20"/>
      <c r="BD16" s="19" t="n">
        <v>16</v>
      </c>
      <c r="BE16" s="19" t="n">
        <v>14</v>
      </c>
      <c r="BF16" s="19" t="n">
        <v>0</v>
      </c>
      <c r="BG16" s="19" t="n">
        <v>12</v>
      </c>
      <c r="BH16" s="19" t="n">
        <v>0</v>
      </c>
      <c r="BI16" s="20" t="s">
        <v>165</v>
      </c>
      <c r="BJ16" s="20"/>
    </row>
    <row r="17" customFormat="false" ht="33.75" hidden="false" customHeight="true" outlineLevel="0" collapsed="false">
      <c r="A17" s="19" t="n">
        <v>14</v>
      </c>
      <c r="B17" s="20" t="s">
        <v>145</v>
      </c>
      <c r="C17" s="20" t="s">
        <v>146</v>
      </c>
      <c r="D17" s="20" t="s">
        <v>147</v>
      </c>
      <c r="E17" s="20" t="s">
        <v>148</v>
      </c>
      <c r="F17" s="20" t="s">
        <v>166</v>
      </c>
      <c r="G17" s="20"/>
      <c r="H17" s="20" t="s">
        <v>119</v>
      </c>
      <c r="I17" s="20" t="s">
        <v>167</v>
      </c>
      <c r="J17" s="21"/>
      <c r="K17" s="21"/>
      <c r="L17" s="21" t="n">
        <v>15.2</v>
      </c>
      <c r="M17" s="22" t="n">
        <v>45128</v>
      </c>
      <c r="N17" s="23"/>
      <c r="O17" s="23" t="n">
        <v>52747.2527472528</v>
      </c>
      <c r="P17" s="23" t="n">
        <v>4776.83516483517</v>
      </c>
      <c r="Q17" s="20" t="s">
        <v>168</v>
      </c>
      <c r="R17" s="20" t="s">
        <v>169</v>
      </c>
      <c r="S17" s="22" t="n">
        <v>45717</v>
      </c>
      <c r="T17" s="22" t="n">
        <v>46812</v>
      </c>
      <c r="U17" s="21" t="n">
        <v>2.99794661190965</v>
      </c>
      <c r="V17" s="21" t="n">
        <v>1.87268993839836</v>
      </c>
      <c r="W17" s="20" t="s">
        <v>153</v>
      </c>
      <c r="X17" s="23" t="n">
        <v>10865.28</v>
      </c>
      <c r="Y17" s="23" t="n">
        <v>10816.32</v>
      </c>
      <c r="Z17" s="25" t="n">
        <f aca="false">IFERROR(Y17/L17,"")</f>
        <v>711.6</v>
      </c>
      <c r="AA17" s="23" t="n">
        <f aca="false">IFERROR(Y17/12,"")</f>
        <v>901.36</v>
      </c>
      <c r="AB17" s="20" t="s">
        <v>170</v>
      </c>
      <c r="AC17" s="21" t="n">
        <v>128.68</v>
      </c>
      <c r="AD17" s="20" t="s">
        <v>69</v>
      </c>
      <c r="AE17" s="14" t="n">
        <v>905.44</v>
      </c>
      <c r="AF17" s="28" t="n">
        <v>905</v>
      </c>
      <c r="AG17" s="20"/>
      <c r="AH17" s="20"/>
      <c r="AI17" s="23"/>
      <c r="AJ17" s="23" t="n">
        <v>52747.2527472528</v>
      </c>
      <c r="AK17" s="23" t="n">
        <v>48029.3626373626</v>
      </c>
      <c r="AL17" s="20"/>
      <c r="AM17" s="20"/>
      <c r="AN17" s="20"/>
      <c r="AO17" s="22"/>
      <c r="AP17" s="23"/>
      <c r="AQ17" s="23"/>
      <c r="AR17" s="23" t="n">
        <f aca="false">IFERROR(Y17/0.07,0)</f>
        <v>154518.857142857</v>
      </c>
      <c r="AS17" s="25" t="n">
        <f aca="false">IFERROR(O17/L17,"")</f>
        <v>3470.21399652979</v>
      </c>
      <c r="AT17" s="23"/>
      <c r="AV17" s="17" t="str">
        <f aca="false">IF(AND(ISNUMBER(AT17),ISNUMBER(AU17)),AU17-AT17,"")</f>
        <v/>
      </c>
      <c r="AW17" s="23"/>
      <c r="AX17" s="20" t="s">
        <v>87</v>
      </c>
      <c r="AY17" s="27" t="n">
        <v>0.0001</v>
      </c>
      <c r="AZ17" s="27" t="n">
        <v>0.0001</v>
      </c>
      <c r="BA17" s="27" t="n">
        <v>0.4999</v>
      </c>
      <c r="BB17" s="27" t="n">
        <v>0.4999</v>
      </c>
      <c r="BC17" s="20"/>
      <c r="BD17" s="19" t="n">
        <v>240</v>
      </c>
      <c r="BE17" s="19" t="n">
        <v>231</v>
      </c>
      <c r="BF17" s="19" t="n">
        <v>3</v>
      </c>
      <c r="BG17" s="19" t="n">
        <v>101</v>
      </c>
      <c r="BH17" s="19" t="n">
        <v>51</v>
      </c>
      <c r="BI17" s="20" t="s">
        <v>171</v>
      </c>
      <c r="BJ17" s="20" t="s">
        <v>172</v>
      </c>
    </row>
    <row r="18" customFormat="false" ht="33.75" hidden="false" customHeight="true" outlineLevel="0" collapsed="false">
      <c r="A18" s="8" t="n">
        <v>15</v>
      </c>
      <c r="B18" s="9" t="s">
        <v>145</v>
      </c>
      <c r="C18" s="9" t="s">
        <v>146</v>
      </c>
      <c r="D18" s="9" t="s">
        <v>147</v>
      </c>
      <c r="E18" s="9" t="s">
        <v>148</v>
      </c>
      <c r="F18" s="9" t="s">
        <v>166</v>
      </c>
      <c r="G18" s="9"/>
      <c r="H18" s="9" t="s">
        <v>119</v>
      </c>
      <c r="I18" s="9" t="s">
        <v>167</v>
      </c>
      <c r="J18" s="10"/>
      <c r="K18" s="10"/>
      <c r="L18" s="10" t="n">
        <v>33</v>
      </c>
      <c r="M18" s="11" t="n">
        <v>45128</v>
      </c>
      <c r="N18" s="12"/>
      <c r="O18" s="12" t="n">
        <v>114517.061885483</v>
      </c>
      <c r="P18" s="12" t="n">
        <v>10370.7605552342</v>
      </c>
      <c r="Q18" s="32" t="s">
        <v>173</v>
      </c>
      <c r="R18" s="32" t="s">
        <v>72</v>
      </c>
      <c r="S18" s="29" t="n">
        <v>46054</v>
      </c>
      <c r="T18" s="29" t="n">
        <v>49341</v>
      </c>
      <c r="U18" s="10" t="n">
        <v>8.99931553730322</v>
      </c>
      <c r="V18" s="10" t="n">
        <v>8.79671457905544</v>
      </c>
      <c r="W18" s="9" t="s">
        <v>153</v>
      </c>
      <c r="X18" s="12" t="n">
        <v>7084</v>
      </c>
      <c r="Y18" s="12" t="n">
        <v>8391.96</v>
      </c>
      <c r="Z18" s="13" t="n">
        <f aca="false">IFERROR(Y18/L18,"")</f>
        <v>254.301818181818</v>
      </c>
      <c r="AA18" s="12" t="n">
        <f aca="false">IFERROR(Y18/12,"")</f>
        <v>699.33</v>
      </c>
      <c r="AB18" s="9" t="s">
        <v>174</v>
      </c>
      <c r="AC18" s="10" t="n">
        <v>128.68</v>
      </c>
      <c r="AD18" s="9" t="s">
        <v>69</v>
      </c>
      <c r="AE18" s="14" t="n">
        <v>3326</v>
      </c>
      <c r="AF18" s="15" t="n">
        <v>4196</v>
      </c>
      <c r="AG18" s="9"/>
      <c r="AH18" s="9"/>
      <c r="AI18" s="12"/>
      <c r="AJ18" s="12" t="n">
        <v>114517.061885483</v>
      </c>
      <c r="AK18" s="12" t="n">
        <v>104274.274146906</v>
      </c>
      <c r="AL18" s="9"/>
      <c r="AM18" s="9"/>
      <c r="AN18" s="9"/>
      <c r="AO18" s="11"/>
      <c r="AP18" s="12"/>
      <c r="AQ18" s="12"/>
      <c r="AR18" s="12" t="n">
        <f aca="false">IFERROR(Y18/0.07,0)</f>
        <v>119885.142857143</v>
      </c>
      <c r="AS18" s="13" t="n">
        <f aca="false">IFERROR(O18/L18,"")</f>
        <v>3470.21399652979</v>
      </c>
      <c r="AT18" s="16" t="n">
        <v>1610</v>
      </c>
      <c r="AU18" s="14" t="n">
        <v>1434</v>
      </c>
      <c r="AV18" s="17" t="n">
        <f aca="false">IF(AND(ISNUMBER(AT18),ISNUMBER(AU18)),AU18-AT18,"")</f>
        <v>-176</v>
      </c>
      <c r="AW18" s="12"/>
      <c r="AX18" s="9" t="s">
        <v>155</v>
      </c>
      <c r="AY18" s="18" t="n">
        <v>0.0001</v>
      </c>
      <c r="AZ18" s="18" t="n">
        <v>0.0001</v>
      </c>
      <c r="BA18" s="18" t="n">
        <v>0.4999</v>
      </c>
      <c r="BB18" s="18" t="n">
        <v>0.4999</v>
      </c>
      <c r="BC18" s="9"/>
      <c r="BD18" s="8"/>
      <c r="BE18" s="8"/>
      <c r="BF18" s="8"/>
      <c r="BG18" s="8"/>
      <c r="BH18" s="8"/>
      <c r="BI18" s="9"/>
      <c r="BJ18" s="9" t="s">
        <v>172</v>
      </c>
    </row>
    <row r="19" customFormat="false" ht="33.75" hidden="false" customHeight="true" outlineLevel="0" collapsed="false">
      <c r="A19" s="19" t="n">
        <v>16</v>
      </c>
      <c r="B19" s="20" t="s">
        <v>145</v>
      </c>
      <c r="C19" s="20" t="s">
        <v>146</v>
      </c>
      <c r="D19" s="20" t="s">
        <v>147</v>
      </c>
      <c r="E19" s="20" t="s">
        <v>148</v>
      </c>
      <c r="F19" s="20" t="s">
        <v>166</v>
      </c>
      <c r="G19" s="20"/>
      <c r="H19" s="20" t="s">
        <v>119</v>
      </c>
      <c r="I19" s="20" t="s">
        <v>167</v>
      </c>
      <c r="J19" s="21"/>
      <c r="K19" s="21"/>
      <c r="L19" s="21" t="n">
        <v>11.25</v>
      </c>
      <c r="M19" s="22" t="n">
        <v>45128</v>
      </c>
      <c r="N19" s="23"/>
      <c r="O19" s="23" t="n">
        <v>39039.9074609601</v>
      </c>
      <c r="P19" s="23" t="n">
        <v>3535.48655292076</v>
      </c>
      <c r="Q19" s="20" t="s">
        <v>175</v>
      </c>
      <c r="R19" s="20" t="s">
        <v>85</v>
      </c>
      <c r="S19" s="22" t="n">
        <v>45792</v>
      </c>
      <c r="T19" s="29" t="n">
        <v>47983</v>
      </c>
      <c r="U19" s="21" t="n">
        <v>5.99863107460643</v>
      </c>
      <c r="V19" s="21" t="n">
        <v>5.07871321013005</v>
      </c>
      <c r="W19" s="20" t="s">
        <v>153</v>
      </c>
      <c r="X19" s="23" t="n">
        <v>8040.24</v>
      </c>
      <c r="Y19" s="23" t="n">
        <v>8040.24</v>
      </c>
      <c r="Z19" s="25" t="n">
        <f aca="false">IFERROR(Y19/L19,"")</f>
        <v>714.688</v>
      </c>
      <c r="AA19" s="23" t="n">
        <f aca="false">IFERROR(Y19/12,"")</f>
        <v>670.02</v>
      </c>
      <c r="AB19" s="20" t="s">
        <v>176</v>
      </c>
      <c r="AC19" s="21" t="n">
        <v>128.68</v>
      </c>
      <c r="AD19" s="20" t="s">
        <v>69</v>
      </c>
      <c r="AE19" s="14" t="n">
        <v>2010.06</v>
      </c>
      <c r="AF19" s="28" t="n">
        <v>2010</v>
      </c>
      <c r="AG19" s="20"/>
      <c r="AH19" s="20"/>
      <c r="AI19" s="23"/>
      <c r="AJ19" s="23" t="n">
        <v>39039.9074609601</v>
      </c>
      <c r="AK19" s="23" t="n">
        <v>35548.048004627</v>
      </c>
      <c r="AL19" s="20"/>
      <c r="AM19" s="20"/>
      <c r="AN19" s="20"/>
      <c r="AO19" s="22"/>
      <c r="AP19" s="23"/>
      <c r="AQ19" s="23"/>
      <c r="AR19" s="23" t="n">
        <f aca="false">IFERROR(Y19/0.07,0)</f>
        <v>114860.571428571</v>
      </c>
      <c r="AS19" s="25" t="n">
        <f aca="false">IFERROR(O19/L19,"")</f>
        <v>3470.21399652979</v>
      </c>
      <c r="AT19" s="23"/>
      <c r="AV19" s="17" t="str">
        <f aca="false">IF(AND(ISNUMBER(AT19),ISNUMBER(AU19)),AU19-AT19,"")</f>
        <v/>
      </c>
      <c r="AW19" s="23"/>
      <c r="AX19" s="20" t="s">
        <v>87</v>
      </c>
      <c r="AY19" s="27" t="n">
        <v>0.0001</v>
      </c>
      <c r="AZ19" s="27" t="n">
        <v>0.0001</v>
      </c>
      <c r="BA19" s="27" t="n">
        <v>0.4999</v>
      </c>
      <c r="BB19" s="27" t="n">
        <v>0.4999</v>
      </c>
      <c r="BC19" s="20"/>
      <c r="BD19" s="19"/>
      <c r="BE19" s="19"/>
      <c r="BF19" s="19"/>
      <c r="BG19" s="19"/>
      <c r="BH19" s="19"/>
      <c r="BI19" s="20"/>
      <c r="BJ19" s="20" t="s">
        <v>177</v>
      </c>
    </row>
    <row r="20" customFormat="false" ht="33.75" hidden="false" customHeight="true" outlineLevel="0" collapsed="false">
      <c r="A20" s="8" t="n">
        <v>17</v>
      </c>
      <c r="B20" s="9" t="s">
        <v>145</v>
      </c>
      <c r="C20" s="9" t="s">
        <v>146</v>
      </c>
      <c r="D20" s="9" t="s">
        <v>147</v>
      </c>
      <c r="E20" s="9" t="s">
        <v>148</v>
      </c>
      <c r="F20" s="9" t="s">
        <v>166</v>
      </c>
      <c r="G20" s="9"/>
      <c r="H20" s="9" t="s">
        <v>119</v>
      </c>
      <c r="I20" s="9" t="s">
        <v>178</v>
      </c>
      <c r="J20" s="10"/>
      <c r="K20" s="10"/>
      <c r="L20" s="10" t="n">
        <v>16.5</v>
      </c>
      <c r="M20" s="11" t="n">
        <v>45128</v>
      </c>
      <c r="N20" s="12"/>
      <c r="O20" s="12" t="n">
        <v>57258.5309427415</v>
      </c>
      <c r="P20" s="12" t="n">
        <v>5185.38027761712</v>
      </c>
      <c r="Q20" s="9" t="s">
        <v>179</v>
      </c>
      <c r="R20" s="9" t="s">
        <v>85</v>
      </c>
      <c r="S20" s="11" t="n">
        <v>45895</v>
      </c>
      <c r="T20" s="11" t="n">
        <v>48085</v>
      </c>
      <c r="U20" s="10" t="n">
        <v>5.9958932238193</v>
      </c>
      <c r="V20" s="10" t="n">
        <v>5.35797399041752</v>
      </c>
      <c r="W20" s="9" t="s">
        <v>153</v>
      </c>
      <c r="X20" s="12" t="n">
        <v>11788.32</v>
      </c>
      <c r="Y20" s="12" t="n">
        <v>11788.32</v>
      </c>
      <c r="Z20" s="13" t="n">
        <f aca="false">IFERROR(Y20/L20,"")</f>
        <v>714.443636363636</v>
      </c>
      <c r="AA20" s="12" t="n">
        <f aca="false">IFERROR(Y20/12,"")</f>
        <v>982.36</v>
      </c>
      <c r="AB20" s="9" t="s">
        <v>180</v>
      </c>
      <c r="AC20" s="10" t="n">
        <v>128.68</v>
      </c>
      <c r="AD20" s="9" t="s">
        <v>69</v>
      </c>
      <c r="AE20" s="33" t="n">
        <v>2947.08</v>
      </c>
      <c r="AF20" s="34" t="n">
        <v>2947.08</v>
      </c>
      <c r="AG20" s="9"/>
      <c r="AH20" s="9"/>
      <c r="AI20" s="12"/>
      <c r="AJ20" s="12" t="n">
        <v>57258.5309427415</v>
      </c>
      <c r="AK20" s="12" t="n">
        <v>52137.1370734529</v>
      </c>
      <c r="AL20" s="9"/>
      <c r="AM20" s="9"/>
      <c r="AN20" s="9"/>
      <c r="AO20" s="11"/>
      <c r="AP20" s="12"/>
      <c r="AQ20" s="12"/>
      <c r="AR20" s="12" t="n">
        <f aca="false">IFERROR(Y20/0.07,0)</f>
        <v>168404.571428571</v>
      </c>
      <c r="AS20" s="13" t="n">
        <f aca="false">IFERROR(O20/L20,"")</f>
        <v>3470.21399652979</v>
      </c>
      <c r="AT20" s="12"/>
      <c r="AV20" s="17" t="str">
        <f aca="false">IF(AND(ISNUMBER(AT20),ISNUMBER(AU20)),AU20-AT20,"")</f>
        <v/>
      </c>
      <c r="AW20" s="12"/>
      <c r="AX20" s="9" t="s">
        <v>87</v>
      </c>
      <c r="AY20" s="18" t="n">
        <v>0.0001</v>
      </c>
      <c r="AZ20" s="18" t="n">
        <v>0.0001</v>
      </c>
      <c r="BA20" s="18" t="n">
        <v>0.4999</v>
      </c>
      <c r="BB20" s="18" t="n">
        <v>0.4999</v>
      </c>
      <c r="BC20" s="9"/>
      <c r="BD20" s="8"/>
      <c r="BE20" s="8"/>
      <c r="BF20" s="8"/>
      <c r="BG20" s="8"/>
      <c r="BH20" s="8"/>
      <c r="BI20" s="9"/>
      <c r="BJ20" s="9" t="s">
        <v>156</v>
      </c>
    </row>
    <row r="21" customFormat="false" ht="33.75" hidden="false" customHeight="true" outlineLevel="0" collapsed="false">
      <c r="A21" s="19" t="n">
        <v>18</v>
      </c>
      <c r="B21" s="20" t="s">
        <v>145</v>
      </c>
      <c r="C21" s="20" t="s">
        <v>146</v>
      </c>
      <c r="D21" s="20" t="s">
        <v>147</v>
      </c>
      <c r="E21" s="20" t="s">
        <v>148</v>
      </c>
      <c r="F21" s="20" t="s">
        <v>166</v>
      </c>
      <c r="G21" s="20"/>
      <c r="H21" s="20" t="s">
        <v>119</v>
      </c>
      <c r="I21" s="32" t="s">
        <v>181</v>
      </c>
      <c r="J21" s="21"/>
      <c r="K21" s="21"/>
      <c r="L21" s="21" t="n">
        <v>11.15</v>
      </c>
      <c r="M21" s="22" t="n">
        <v>45128</v>
      </c>
      <c r="N21" s="23"/>
      <c r="O21" s="23" t="n">
        <v>38692.8860613071</v>
      </c>
      <c r="P21" s="23" t="n">
        <v>3504.06000578369</v>
      </c>
      <c r="Q21" s="32" t="s">
        <v>182</v>
      </c>
      <c r="R21" s="20" t="s">
        <v>85</v>
      </c>
      <c r="S21" s="29" t="n">
        <v>46070</v>
      </c>
      <c r="T21" s="29" t="n">
        <v>48260</v>
      </c>
      <c r="U21" s="21" t="n">
        <v>5.9958932238193</v>
      </c>
      <c r="V21" s="21" t="n">
        <v>5.83709787816564</v>
      </c>
      <c r="W21" s="20" t="s">
        <v>153</v>
      </c>
      <c r="X21" s="24" t="n">
        <v>4950.72</v>
      </c>
      <c r="Y21" s="24" t="n">
        <v>4950.72</v>
      </c>
      <c r="Z21" s="25" t="n">
        <f aca="false">IFERROR(Y21/L21,"")</f>
        <v>444.010762331839</v>
      </c>
      <c r="AA21" s="23" t="n">
        <f aca="false">IFERROR(Y21/12,"")</f>
        <v>412.56</v>
      </c>
      <c r="AB21" s="20" t="s">
        <v>176</v>
      </c>
      <c r="AC21" s="21" t="n">
        <v>128.68</v>
      </c>
      <c r="AD21" s="20" t="s">
        <v>69</v>
      </c>
      <c r="AE21" s="14" t="n">
        <v>1237.71</v>
      </c>
      <c r="AF21" s="28" t="n">
        <v>1238</v>
      </c>
      <c r="AG21" s="20"/>
      <c r="AH21" s="20"/>
      <c r="AI21" s="23"/>
      <c r="AJ21" s="23" t="n">
        <v>38692.8860613071</v>
      </c>
      <c r="AK21" s="23" t="n">
        <v>35232.0653556969</v>
      </c>
      <c r="AL21" s="20"/>
      <c r="AM21" s="20"/>
      <c r="AN21" s="20"/>
      <c r="AO21" s="22"/>
      <c r="AP21" s="23"/>
      <c r="AQ21" s="23"/>
      <c r="AR21" s="23" t="n">
        <f aca="false">IFERROR(Y21/0.07,0)</f>
        <v>70724.5714285714</v>
      </c>
      <c r="AS21" s="25" t="n">
        <f aca="false">IFERROR(O21/L21,"")</f>
        <v>3470.21399652978</v>
      </c>
      <c r="AT21" s="23"/>
      <c r="AU21" s="35"/>
      <c r="AV21" s="17" t="str">
        <f aca="false">IF(AND(ISNUMBER(AT21),ISNUMBER(AU21)),AU21-AT21,"")</f>
        <v/>
      </c>
      <c r="AW21" s="23"/>
      <c r="AX21" s="20" t="s">
        <v>87</v>
      </c>
      <c r="AY21" s="27"/>
      <c r="AZ21" s="27"/>
      <c r="BA21" s="27"/>
      <c r="BB21" s="27"/>
      <c r="BC21" s="20"/>
      <c r="BD21" s="19"/>
      <c r="BE21" s="19"/>
      <c r="BF21" s="19"/>
      <c r="BG21" s="19"/>
      <c r="BH21" s="19"/>
      <c r="BI21" s="20"/>
      <c r="BJ21" s="20" t="s">
        <v>156</v>
      </c>
    </row>
    <row r="22" customFormat="false" ht="33.75" hidden="false" customHeight="true" outlineLevel="0" collapsed="false">
      <c r="A22" s="36" t="n">
        <v>19</v>
      </c>
      <c r="B22" s="32" t="s">
        <v>145</v>
      </c>
      <c r="C22" s="32" t="s">
        <v>146</v>
      </c>
      <c r="D22" s="32" t="s">
        <v>147</v>
      </c>
      <c r="E22" s="32" t="n">
        <v>78400</v>
      </c>
      <c r="F22" s="32" t="s">
        <v>166</v>
      </c>
      <c r="G22" s="32"/>
      <c r="H22" s="32" t="s">
        <v>119</v>
      </c>
      <c r="I22" s="32" t="s">
        <v>181</v>
      </c>
      <c r="J22" s="37"/>
      <c r="K22" s="37"/>
      <c r="L22" s="37" t="n">
        <v>14.8</v>
      </c>
      <c r="M22" s="29" t="n">
        <v>45128</v>
      </c>
      <c r="N22" s="24"/>
      <c r="O22" s="24"/>
      <c r="P22" s="24"/>
      <c r="Q22" s="32" t="s">
        <v>183</v>
      </c>
      <c r="R22" s="32" t="s">
        <v>85</v>
      </c>
      <c r="S22" s="29" t="n">
        <v>45931</v>
      </c>
      <c r="T22" s="29" t="n">
        <v>48121</v>
      </c>
      <c r="U22" s="37" t="n">
        <v>5.9958932238193</v>
      </c>
      <c r="V22" s="37" t="n">
        <v>5.45653661875428</v>
      </c>
      <c r="W22" s="32"/>
      <c r="X22" s="24" t="n">
        <v>10567.2</v>
      </c>
      <c r="Y22" s="24" t="n">
        <v>10567.2</v>
      </c>
      <c r="Z22" s="38" t="n">
        <f aca="false">IFERROR(Y22/L22,"")</f>
        <v>714</v>
      </c>
      <c r="AA22" s="24" t="n">
        <f aca="false">IFERROR(Y22/12,"")</f>
        <v>880.6</v>
      </c>
      <c r="AB22" s="32" t="s">
        <v>184</v>
      </c>
      <c r="AC22" s="37"/>
      <c r="AD22" s="32" t="s">
        <v>69</v>
      </c>
      <c r="AE22" s="14" t="n">
        <v>2641.8</v>
      </c>
      <c r="AF22" s="26" t="n">
        <v>2642</v>
      </c>
      <c r="AG22" s="32"/>
      <c r="AH22" s="32"/>
      <c r="AI22" s="24"/>
      <c r="AJ22" s="24"/>
      <c r="AK22" s="24"/>
      <c r="AL22" s="32"/>
      <c r="AM22" s="32"/>
      <c r="AN22" s="32"/>
      <c r="AO22" s="29"/>
      <c r="AP22" s="24"/>
      <c r="AQ22" s="24"/>
      <c r="AR22" s="24" t="n">
        <f aca="false">IFERROR(Y22/0.07,0)</f>
        <v>150960</v>
      </c>
      <c r="AS22" s="38" t="n">
        <f aca="false">IFERROR(O22/L22,"")</f>
        <v>0</v>
      </c>
      <c r="AT22" s="16" t="n">
        <v>1072.8</v>
      </c>
      <c r="AU22" s="35"/>
      <c r="AV22" s="17" t="str">
        <f aca="false">IF(AND(ISNUMBER(AT22),ISNUMBER(AU22)),AU22-AT22,"")</f>
        <v/>
      </c>
      <c r="AW22" s="24"/>
      <c r="AX22" s="32" t="s">
        <v>87</v>
      </c>
      <c r="AY22" s="39"/>
      <c r="AZ22" s="39"/>
      <c r="BA22" s="39"/>
      <c r="BB22" s="39"/>
      <c r="BC22" s="32"/>
      <c r="BD22" s="36"/>
      <c r="BE22" s="36"/>
      <c r="BF22" s="36"/>
      <c r="BG22" s="36"/>
      <c r="BH22" s="36"/>
      <c r="BI22" s="32"/>
      <c r="BJ22" s="32"/>
    </row>
    <row r="23" customFormat="false" ht="33.75" hidden="false" customHeight="true" outlineLevel="0" collapsed="false">
      <c r="A23" s="8" t="n">
        <v>20</v>
      </c>
      <c r="B23" s="9" t="s">
        <v>185</v>
      </c>
      <c r="C23" s="9" t="s">
        <v>186</v>
      </c>
      <c r="D23" s="9" t="s">
        <v>187</v>
      </c>
      <c r="E23" s="9" t="s">
        <v>188</v>
      </c>
      <c r="F23" s="9" t="s">
        <v>189</v>
      </c>
      <c r="G23" s="9" t="s">
        <v>190</v>
      </c>
      <c r="H23" s="9" t="s">
        <v>119</v>
      </c>
      <c r="I23" s="9" t="s">
        <v>191</v>
      </c>
      <c r="J23" s="10" t="n">
        <v>11637</v>
      </c>
      <c r="K23" s="10" t="n">
        <v>231.1</v>
      </c>
      <c r="L23" s="10" t="n">
        <v>231.1</v>
      </c>
      <c r="M23" s="11" t="n">
        <v>42965</v>
      </c>
      <c r="N23" s="12" t="n">
        <v>250000</v>
      </c>
      <c r="O23" s="12" t="n">
        <v>250000</v>
      </c>
      <c r="P23" s="12" t="n">
        <v>20176.7</v>
      </c>
      <c r="Q23" s="9" t="s">
        <v>192</v>
      </c>
      <c r="R23" s="9" t="s">
        <v>72</v>
      </c>
      <c r="S23" s="11" t="n">
        <v>43191</v>
      </c>
      <c r="T23" s="11" t="n">
        <v>46843</v>
      </c>
      <c r="U23" s="10" t="n">
        <v>9.99863107460643</v>
      </c>
      <c r="V23" s="10" t="n">
        <v>1.95756331279945</v>
      </c>
      <c r="W23" s="9"/>
      <c r="X23" s="12" t="n">
        <v>31284</v>
      </c>
      <c r="Y23" s="12" t="n">
        <v>38883.16</v>
      </c>
      <c r="Z23" s="13" t="n">
        <f aca="false">IFERROR(Y23/L23,"")</f>
        <v>168.252531371701</v>
      </c>
      <c r="AA23" s="12" t="n">
        <f aca="false">IFERROR(Y23/12,"")</f>
        <v>3240.26333333333</v>
      </c>
      <c r="AB23" s="9" t="s">
        <v>193</v>
      </c>
      <c r="AC23" s="10" t="n">
        <v>110</v>
      </c>
      <c r="AD23" s="9" t="s">
        <v>69</v>
      </c>
      <c r="AE23" s="14" t="n">
        <v>5214</v>
      </c>
      <c r="AF23" s="15" t="n">
        <v>6481</v>
      </c>
      <c r="AG23" s="9" t="s">
        <v>194</v>
      </c>
      <c r="AH23" s="9" t="s">
        <v>195</v>
      </c>
      <c r="AI23" s="12" t="n">
        <v>250000</v>
      </c>
      <c r="AJ23" s="12" t="n">
        <v>250000</v>
      </c>
      <c r="AK23" s="12" t="n">
        <v>5217</v>
      </c>
      <c r="AL23" s="9" t="n">
        <v>0.0134</v>
      </c>
      <c r="AM23" s="9" t="s">
        <v>78</v>
      </c>
      <c r="AN23" s="9" t="n">
        <v>8</v>
      </c>
      <c r="AO23" s="11" t="n">
        <v>46071</v>
      </c>
      <c r="AP23" s="12"/>
      <c r="AQ23" s="12"/>
      <c r="AR23" s="12" t="n">
        <f aca="false">IFERROR(Y23/0.07,0)</f>
        <v>555473.714285714</v>
      </c>
      <c r="AS23" s="13" t="n">
        <f aca="false">IFERROR(O23/L23,"")</f>
        <v>1081.78277801817</v>
      </c>
      <c r="AT23" s="16" t="n">
        <v>3000</v>
      </c>
      <c r="AU23" s="14" t="n">
        <v>3020</v>
      </c>
      <c r="AV23" s="17" t="n">
        <f aca="false">IF(AND(ISNUMBER(AT23),ISNUMBER(AU23)),AU23-AT23,"")</f>
        <v>20</v>
      </c>
      <c r="AW23" s="16" t="n">
        <v>5454</v>
      </c>
      <c r="AX23" s="9" t="s">
        <v>196</v>
      </c>
      <c r="AY23" s="18" t="n">
        <v>0.5</v>
      </c>
      <c r="AZ23" s="18" t="n">
        <v>0.5</v>
      </c>
      <c r="BA23" s="18" t="n">
        <v>0</v>
      </c>
      <c r="BB23" s="18" t="n">
        <v>0</v>
      </c>
      <c r="BC23" s="9" t="s">
        <v>197</v>
      </c>
      <c r="BD23" s="8" t="n">
        <v>128</v>
      </c>
      <c r="BE23" s="8" t="n">
        <v>123</v>
      </c>
      <c r="BF23" s="8" t="n">
        <v>0</v>
      </c>
      <c r="BG23" s="8" t="n">
        <v>46</v>
      </c>
      <c r="BH23" s="8" t="n">
        <v>76</v>
      </c>
      <c r="BI23" s="9" t="s">
        <v>198</v>
      </c>
      <c r="BJ23" s="9" t="s">
        <v>199</v>
      </c>
    </row>
    <row r="24" customFormat="false" ht="33.75" hidden="false" customHeight="true" outlineLevel="0" collapsed="false">
      <c r="A24" s="19" t="n">
        <v>21</v>
      </c>
      <c r="B24" s="20" t="s">
        <v>185</v>
      </c>
      <c r="C24" s="20" t="s">
        <v>200</v>
      </c>
      <c r="D24" s="20" t="s">
        <v>201</v>
      </c>
      <c r="E24" s="20" t="s">
        <v>202</v>
      </c>
      <c r="F24" s="20" t="s">
        <v>203</v>
      </c>
      <c r="G24" s="20" t="s">
        <v>204</v>
      </c>
      <c r="H24" s="20" t="s">
        <v>119</v>
      </c>
      <c r="I24" s="20" t="s">
        <v>205</v>
      </c>
      <c r="J24" s="21" t="n">
        <v>807</v>
      </c>
      <c r="K24" s="21" t="n">
        <v>192.6</v>
      </c>
      <c r="L24" s="21" t="n">
        <v>192</v>
      </c>
      <c r="M24" s="22" t="n">
        <v>43284</v>
      </c>
      <c r="N24" s="23" t="n">
        <v>780000</v>
      </c>
      <c r="O24" s="23" t="n">
        <v>780000</v>
      </c>
      <c r="P24" s="23" t="n">
        <v>114430</v>
      </c>
      <c r="Q24" s="20" t="s">
        <v>206</v>
      </c>
      <c r="R24" s="20" t="s">
        <v>72</v>
      </c>
      <c r="S24" s="22" t="n">
        <v>43282</v>
      </c>
      <c r="T24" s="22" t="n">
        <v>46934</v>
      </c>
      <c r="U24" s="21" t="n">
        <v>9.99863107460643</v>
      </c>
      <c r="V24" s="21" t="n">
        <v>2.20670773442847</v>
      </c>
      <c r="W24" s="20"/>
      <c r="X24" s="23" t="n">
        <v>62000</v>
      </c>
      <c r="Y24" s="23" t="n">
        <v>70894.04</v>
      </c>
      <c r="Z24" s="25" t="n">
        <f aca="false">IFERROR(Y24/L24,"")</f>
        <v>369.239791666667</v>
      </c>
      <c r="AA24" s="23" t="n">
        <f aca="false">IFERROR(Y24/12,"")</f>
        <v>5907.83666666667</v>
      </c>
      <c r="AB24" s="20" t="s">
        <v>207</v>
      </c>
      <c r="AC24" s="21" t="n">
        <v>127.22</v>
      </c>
      <c r="AD24" s="20" t="s">
        <v>69</v>
      </c>
      <c r="AE24" s="14" t="n">
        <v>15500</v>
      </c>
      <c r="AF24" s="28" t="n">
        <v>17724</v>
      </c>
      <c r="AG24" s="20" t="s">
        <v>135</v>
      </c>
      <c r="AH24" s="20" t="s">
        <v>208</v>
      </c>
      <c r="AI24" s="23" t="n">
        <v>780000</v>
      </c>
      <c r="AJ24" s="23" t="n">
        <v>780000</v>
      </c>
      <c r="AK24" s="23" t="n">
        <v>421889</v>
      </c>
      <c r="AL24" s="20" t="n">
        <v>0.0189</v>
      </c>
      <c r="AM24" s="20" t="s">
        <v>78</v>
      </c>
      <c r="AN24" s="20" t="n">
        <v>15</v>
      </c>
      <c r="AO24" s="22" t="n">
        <v>48763</v>
      </c>
      <c r="AP24" s="23"/>
      <c r="AQ24" s="23"/>
      <c r="AR24" s="23" t="n">
        <f aca="false">IFERROR(Y24/0.07,0)</f>
        <v>1012772</v>
      </c>
      <c r="AS24" s="25" t="n">
        <f aca="false">IFERROR(O24/L24,"")</f>
        <v>4062.5</v>
      </c>
      <c r="AT24" s="16" t="n">
        <v>10000</v>
      </c>
      <c r="AU24" s="14" t="n">
        <v>5385</v>
      </c>
      <c r="AV24" s="17" t="n">
        <f aca="false">IF(AND(ISNUMBER(AT24),ISNUMBER(AU24)),AU24-AT24,"")</f>
        <v>-4615</v>
      </c>
      <c r="AW24" s="16" t="n">
        <v>5385</v>
      </c>
      <c r="AX24" s="20" t="s">
        <v>209</v>
      </c>
      <c r="AY24" s="27" t="n">
        <v>0.5</v>
      </c>
      <c r="AZ24" s="27" t="n">
        <v>0.5</v>
      </c>
      <c r="BA24" s="27" t="n">
        <v>0</v>
      </c>
      <c r="BB24" s="27" t="n">
        <v>0</v>
      </c>
      <c r="BC24" s="20" t="s">
        <v>197</v>
      </c>
      <c r="BD24" s="19" t="n">
        <v>129</v>
      </c>
      <c r="BE24" s="19" t="n">
        <v>125</v>
      </c>
      <c r="BF24" s="19" t="n">
        <v>3</v>
      </c>
      <c r="BG24" s="19" t="n">
        <v>50</v>
      </c>
      <c r="BH24" s="19" t="n">
        <v>70</v>
      </c>
      <c r="BI24" s="20" t="s">
        <v>210</v>
      </c>
      <c r="BJ24" s="20" t="s">
        <v>172</v>
      </c>
    </row>
    <row r="25" customFormat="false" ht="27.75" hidden="false" customHeight="true" outlineLevel="0" collapsed="false">
      <c r="A25" s="8" t="n">
        <v>22</v>
      </c>
      <c r="B25" s="9" t="s">
        <v>211</v>
      </c>
      <c r="C25" s="40" t="s">
        <v>212</v>
      </c>
      <c r="D25" s="9" t="s">
        <v>211</v>
      </c>
      <c r="E25" s="9" t="s">
        <v>213</v>
      </c>
      <c r="F25" s="9" t="s">
        <v>214</v>
      </c>
      <c r="G25" s="9"/>
      <c r="H25" s="9" t="s">
        <v>119</v>
      </c>
      <c r="I25" s="9" t="s">
        <v>215</v>
      </c>
      <c r="J25" s="10"/>
      <c r="K25" s="10" t="n">
        <v>417.97</v>
      </c>
      <c r="L25" s="41" t="n">
        <v>238</v>
      </c>
      <c r="M25" s="11" t="n">
        <v>44889</v>
      </c>
      <c r="N25" s="12" t="n">
        <v>1337730.6</v>
      </c>
      <c r="O25" s="12" t="n">
        <v>1337730.6</v>
      </c>
      <c r="P25" s="12"/>
      <c r="Q25" s="9" t="s">
        <v>216</v>
      </c>
      <c r="R25" s="40" t="s">
        <v>217</v>
      </c>
      <c r="S25" s="30" t="n">
        <v>46266</v>
      </c>
      <c r="T25" s="30" t="n">
        <v>49918</v>
      </c>
      <c r="U25" s="41" t="n">
        <v>10</v>
      </c>
      <c r="V25" s="10"/>
      <c r="W25" s="9"/>
      <c r="X25" s="16" t="n">
        <v>65000</v>
      </c>
      <c r="Y25" s="16" t="n">
        <v>21666.67</v>
      </c>
      <c r="Z25" s="13" t="n">
        <f aca="false">IFERROR(Y25/L25,"")</f>
        <v>91.0364285714286</v>
      </c>
      <c r="AA25" s="12" t="n">
        <f aca="false">IFERROR(Y25/12,"")</f>
        <v>1805.55583333333</v>
      </c>
      <c r="AB25" s="40" t="s">
        <v>74</v>
      </c>
      <c r="AC25" s="10"/>
      <c r="AD25" s="40" t="s">
        <v>218</v>
      </c>
      <c r="AE25" s="14" t="n">
        <v>16250</v>
      </c>
      <c r="AF25" s="16" t="n">
        <v>16250</v>
      </c>
      <c r="AG25" s="9" t="s">
        <v>154</v>
      </c>
      <c r="AH25" s="9" t="s">
        <v>219</v>
      </c>
      <c r="AI25" s="12" t="n">
        <v>1408923</v>
      </c>
      <c r="AJ25" s="12" t="n">
        <v>1408923</v>
      </c>
      <c r="AK25" s="12" t="n">
        <v>1408923</v>
      </c>
      <c r="AL25" s="9" t="n">
        <v>0.0404</v>
      </c>
      <c r="AM25" s="9" t="n">
        <v>0.00327</v>
      </c>
      <c r="AN25" s="9" t="n">
        <v>20</v>
      </c>
      <c r="AO25" s="11" t="n">
        <v>53332</v>
      </c>
      <c r="AP25" s="12"/>
      <c r="AQ25" s="12"/>
      <c r="AR25" s="12" t="n">
        <f aca="false">IFERROR(Y25/0.07,0)</f>
        <v>309523.857142857</v>
      </c>
      <c r="AS25" s="13" t="n">
        <f aca="false">IFERROR(O25/L25,"")</f>
        <v>5620.71680672269</v>
      </c>
      <c r="AT25" s="16" t="n">
        <v>991.67</v>
      </c>
      <c r="AU25" s="35"/>
      <c r="AV25" s="17" t="str">
        <f aca="false">IF(AND(ISNUMBER(AT25),ISNUMBER(AU25)),AU25-AT25,"")</f>
        <v/>
      </c>
      <c r="AW25" s="12"/>
      <c r="AX25" s="9" t="s">
        <v>220</v>
      </c>
      <c r="AY25" s="18" t="n">
        <v>0.0001</v>
      </c>
      <c r="AZ25" s="18" t="n">
        <v>0.0001</v>
      </c>
      <c r="BA25" s="18" t="n">
        <v>0.4999</v>
      </c>
      <c r="BB25" s="18" t="n">
        <v>0.4999</v>
      </c>
      <c r="BC25" s="9"/>
      <c r="BD25" s="8"/>
      <c r="BE25" s="8"/>
      <c r="BF25" s="8"/>
      <c r="BG25" s="8"/>
      <c r="BH25" s="8"/>
      <c r="BI25" s="9"/>
      <c r="BJ25" s="32" t="s">
        <v>221</v>
      </c>
    </row>
    <row r="26" customFormat="false" ht="27.75" hidden="false" customHeight="true" outlineLevel="0" collapsed="false">
      <c r="A26" s="42" t="s">
        <v>222</v>
      </c>
      <c r="B26" s="42"/>
      <c r="C26" s="42"/>
      <c r="D26" s="42"/>
      <c r="E26" s="42"/>
      <c r="F26" s="42"/>
      <c r="G26" s="42"/>
      <c r="H26" s="42"/>
      <c r="I26" s="42"/>
      <c r="J26" s="43" t="n">
        <f aca="false">SUM(J4:J25)</f>
        <v>21299</v>
      </c>
      <c r="K26" s="43" t="n">
        <f aca="false">SUM(K4:K25)</f>
        <v>2145.34</v>
      </c>
      <c r="L26" s="43" t="n">
        <f aca="false">SUM(L4:L25)</f>
        <v>3140.34</v>
      </c>
      <c r="M26" s="42"/>
      <c r="N26" s="43" t="n">
        <f aca="false">SUM(N4:N25)</f>
        <v>7279638.6</v>
      </c>
      <c r="O26" s="43" t="n">
        <f aca="false">SUM(O4:O25)</f>
        <v>7309140.75285253</v>
      </c>
      <c r="P26" s="43" t="n">
        <f aca="false">SUM(P4:P25)</f>
        <v>410402.577685683</v>
      </c>
      <c r="Q26" s="42"/>
      <c r="R26" s="42"/>
      <c r="S26" s="42"/>
      <c r="T26" s="42"/>
      <c r="U26" s="42"/>
      <c r="V26" s="42"/>
      <c r="W26" s="42"/>
      <c r="X26" s="43" t="n">
        <f aca="false">SUM(X4:X25)</f>
        <v>822608.8</v>
      </c>
      <c r="Y26" s="43" t="n">
        <f aca="false">SUM(Y4:Y25)</f>
        <v>800465.05</v>
      </c>
      <c r="Z26" s="44" t="n">
        <f aca="false">IFERROR(Y26/L26,"")</f>
        <v>254.897574784896</v>
      </c>
      <c r="AA26" s="42"/>
      <c r="AB26" s="42"/>
      <c r="AC26" s="42"/>
      <c r="AD26" s="42"/>
      <c r="AE26" s="45" t="n">
        <f aca="false">SUM(AE4:AE25)</f>
        <v>198216.09</v>
      </c>
      <c r="AF26" s="43" t="n">
        <f aca="false">SUM(AF4:AF25)</f>
        <v>199810.08</v>
      </c>
      <c r="AG26" s="42"/>
      <c r="AH26" s="42"/>
      <c r="AI26" s="43" t="n">
        <f aca="false">SUM(AI4:AI25)</f>
        <v>9269535</v>
      </c>
      <c r="AJ26" s="43" t="n">
        <f aca="false">SUM(AJ4:AJ25)</f>
        <v>9446082.09364909</v>
      </c>
      <c r="AK26" s="43" t="n">
        <f aca="false">SUM(AK4:AK25)</f>
        <v>7884860.40998385</v>
      </c>
      <c r="AL26" s="42"/>
      <c r="AM26" s="42"/>
      <c r="AN26" s="42"/>
      <c r="AO26" s="46"/>
      <c r="AP26" s="43" t="n">
        <f aca="false">SUM(AP4:AP25)</f>
        <v>2390000</v>
      </c>
      <c r="AQ26" s="43" t="n">
        <f aca="false">SUM(AQ4:AQ25)</f>
        <v>70000</v>
      </c>
      <c r="AR26" s="43" t="n">
        <f aca="false">SUM(AR4:AR25)</f>
        <v>11435215</v>
      </c>
      <c r="AS26" s="42"/>
      <c r="AT26" s="43" t="n">
        <f aca="false">SUM(AT4:AT25)</f>
        <v>75836.81</v>
      </c>
      <c r="AU26" s="45" t="n">
        <f aca="false">SUM(AU4:AU25)</f>
        <v>30513.69</v>
      </c>
      <c r="AV26" s="45" t="n">
        <f aca="false">SUM(AV4:AV25)</f>
        <v>-9244.65</v>
      </c>
      <c r="AW26" s="47" t="n">
        <f aca="false">SUM(AW4:AW25)</f>
        <v>14665</v>
      </c>
      <c r="AX26" s="42"/>
      <c r="AY26" s="42"/>
      <c r="AZ26" s="42"/>
      <c r="BA26" s="42"/>
      <c r="BB26" s="42"/>
      <c r="BC26" s="42"/>
      <c r="BD26" s="48" t="n">
        <f aca="false">SUM(BD4:BD25)</f>
        <v>940</v>
      </c>
      <c r="BE26" s="48" t="n">
        <f aca="false">SUM(BE4:BE25)</f>
        <v>896</v>
      </c>
      <c r="BF26" s="48" t="n">
        <f aca="false">SUM(BF4:BF25)</f>
        <v>16</v>
      </c>
      <c r="BG26" s="48" t="n">
        <f aca="false">SUM(BG4:BG25)</f>
        <v>289</v>
      </c>
      <c r="BH26" s="48" t="n">
        <f aca="false">SUM(BH4:BH25)</f>
        <v>336</v>
      </c>
      <c r="BI26" s="42"/>
      <c r="BJ26" s="42"/>
      <c r="BK26" s="49"/>
    </row>
  </sheetData>
  <autoFilter ref="A3:BK24"/>
  <mergeCells count="11">
    <mergeCell ref="A1:BK1"/>
    <mergeCell ref="A2:I2"/>
    <mergeCell ref="J2:N2"/>
    <mergeCell ref="O2:S2"/>
    <mergeCell ref="T2:Z2"/>
    <mergeCell ref="AA2:AH2"/>
    <mergeCell ref="AI2:AQ2"/>
    <mergeCell ref="AR2:AV2"/>
    <mergeCell ref="AW2:AY2"/>
    <mergeCell ref="AZ2:BD2"/>
    <mergeCell ref="BE2:BJ2"/>
  </mergeCells>
  <conditionalFormatting sqref="BK4:BK24">
    <cfRule type="expression" priority="2" aboveAverage="0" equalAverage="0" bottom="0" percent="0" rank="0" text="" dxfId="7">
      <formula>LEN(BK4)&gt;0</formula>
    </cfRule>
    <cfRule type="expression" priority="3" aboveAverage="0" equalAverage="0" bottom="0" percent="0" rank="0" text="" dxfId="8">
      <formula>ISNUMBER(SEARCH("⚠",BK4))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"/>
    <col collapsed="false" customWidth="true" hidden="false" outlineLevel="0" max="6" min="3" style="1" width="13"/>
    <col collapsed="false" customWidth="true" hidden="false" outlineLevel="0" max="10" min="7" style="1" width="11"/>
    <col collapsed="false" customWidth="true" hidden="false" outlineLevel="0" max="12" min="11" style="1" width="13"/>
    <col collapsed="false" customWidth="true" hidden="false" outlineLevel="0" max="18" min="13" style="1" width="11"/>
    <col collapsed="false" customWidth="true" hidden="false" outlineLevel="0" max="19" min="19" style="1" width="14"/>
    <col collapsed="false" customWidth="true" hidden="false" outlineLevel="0" max="20" min="20" style="1" width="10"/>
    <col collapsed="false" customWidth="true" hidden="false" outlineLevel="0" max="21" min="21" style="1" width="14"/>
    <col collapsed="false" customWidth="true" hidden="false" outlineLevel="0" max="22" min="22" style="1" width="10"/>
  </cols>
  <sheetData>
    <row r="1" customFormat="false" ht="24.75" hidden="false" customHeight="true" outlineLevel="0" collapsed="false">
      <c r="A1" s="50" t="s">
        <v>223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customFormat="false" ht="49.5" hidden="false" customHeight="true" outlineLevel="0" collapsed="false">
      <c r="A2" s="51" t="s">
        <v>3</v>
      </c>
      <c r="B2" s="51" t="s">
        <v>224</v>
      </c>
      <c r="C2" s="51" t="s">
        <v>13</v>
      </c>
      <c r="D2" s="51" t="s">
        <v>225</v>
      </c>
      <c r="E2" s="51" t="s">
        <v>226</v>
      </c>
      <c r="F2" s="51" t="s">
        <v>227</v>
      </c>
      <c r="G2" s="51" t="s">
        <v>228</v>
      </c>
      <c r="H2" s="51" t="s">
        <v>229</v>
      </c>
      <c r="I2" s="51" t="s">
        <v>230</v>
      </c>
      <c r="J2" s="51" t="s">
        <v>231</v>
      </c>
      <c r="K2" s="51" t="s">
        <v>232</v>
      </c>
      <c r="L2" s="51" t="s">
        <v>233</v>
      </c>
      <c r="M2" s="51" t="s">
        <v>234</v>
      </c>
      <c r="N2" s="51" t="s">
        <v>235</v>
      </c>
      <c r="O2" s="51" t="s">
        <v>236</v>
      </c>
      <c r="P2" s="51" t="s">
        <v>237</v>
      </c>
      <c r="Q2" s="51" t="s">
        <v>238</v>
      </c>
      <c r="R2" s="51" t="s">
        <v>239</v>
      </c>
      <c r="S2" s="51" t="s">
        <v>240</v>
      </c>
      <c r="T2" s="51" t="s">
        <v>241</v>
      </c>
      <c r="U2" s="51" t="s">
        <v>242</v>
      </c>
      <c r="V2" s="51" t="s">
        <v>243</v>
      </c>
    </row>
    <row r="3" customFormat="false" ht="37.5" hidden="false" customHeight="true" outlineLevel="0" collapsed="false">
      <c r="A3" s="52" t="s">
        <v>64</v>
      </c>
      <c r="B3" s="53" t="n">
        <v>7</v>
      </c>
      <c r="C3" s="54" t="n">
        <v>800.9</v>
      </c>
      <c r="D3" s="55" t="n">
        <v>380000</v>
      </c>
      <c r="E3" s="55" t="n">
        <v>184936.14</v>
      </c>
      <c r="F3" s="56" t="n">
        <v>15411.345</v>
      </c>
      <c r="G3" s="56" t="n">
        <v>230.910400799101</v>
      </c>
      <c r="H3" s="55" t="n">
        <v>31349</v>
      </c>
      <c r="I3" s="55" t="n">
        <v>34509</v>
      </c>
      <c r="J3" s="55" t="n">
        <v>15900</v>
      </c>
      <c r="K3" s="55"/>
      <c r="L3" s="55"/>
      <c r="M3" s="55"/>
      <c r="N3" s="55" t="n">
        <v>2274000</v>
      </c>
      <c r="O3" s="55" t="n">
        <v>1928814.40998385</v>
      </c>
      <c r="P3" s="57" t="n">
        <v>5.07582739469435</v>
      </c>
      <c r="Q3" s="57" t="n">
        <v>0.486674052631579</v>
      </c>
      <c r="R3" s="55" t="n">
        <v>70000</v>
      </c>
      <c r="S3" s="55" t="n">
        <v>0</v>
      </c>
      <c r="T3" s="57" t="n">
        <v>0</v>
      </c>
      <c r="U3" s="55" t="n">
        <v>-380000</v>
      </c>
      <c r="V3" s="53" t="n">
        <v>0</v>
      </c>
    </row>
    <row r="4" customFormat="false" ht="21.75" hidden="false" customHeight="true" outlineLevel="0" collapsed="false">
      <c r="A4" s="58" t="s">
        <v>103</v>
      </c>
      <c r="B4" s="59" t="n">
        <v>2</v>
      </c>
      <c r="C4" s="60" t="n">
        <v>404</v>
      </c>
      <c r="D4" s="61" t="n">
        <v>1017908</v>
      </c>
      <c r="E4" s="61" t="n">
        <v>90659.2</v>
      </c>
      <c r="F4" s="62" t="n">
        <v>7554.93333333333</v>
      </c>
      <c r="G4" s="62" t="n">
        <v>224.40396039604</v>
      </c>
      <c r="H4" s="61" t="n">
        <v>35500</v>
      </c>
      <c r="I4" s="61" t="n">
        <v>28522</v>
      </c>
      <c r="J4" s="61" t="n">
        <v>11948.34</v>
      </c>
      <c r="K4" s="61" t="n">
        <v>11849.69</v>
      </c>
      <c r="L4" s="61" t="n">
        <v>-98.6499999999996</v>
      </c>
      <c r="M4" s="61"/>
      <c r="N4" s="61" t="n">
        <v>1042612</v>
      </c>
      <c r="O4" s="61" t="n">
        <v>862466</v>
      </c>
      <c r="P4" s="63" t="n">
        <v>0.847292682639296</v>
      </c>
      <c r="Q4" s="63" t="n">
        <v>0.0890642376324776</v>
      </c>
      <c r="R4" s="61"/>
      <c r="S4" s="61" t="n">
        <v>0</v>
      </c>
      <c r="T4" s="63" t="n">
        <v>0</v>
      </c>
      <c r="U4" s="61" t="n">
        <v>-1017908</v>
      </c>
      <c r="V4" s="59" t="n">
        <v>0</v>
      </c>
    </row>
    <row r="5" customFormat="false" ht="21.75" hidden="false" customHeight="true" outlineLevel="0" collapsed="false">
      <c r="A5" s="52" t="s">
        <v>127</v>
      </c>
      <c r="B5" s="53" t="n">
        <v>2</v>
      </c>
      <c r="C5" s="54" t="n">
        <v>517.4</v>
      </c>
      <c r="D5" s="55" t="n">
        <v>1574000</v>
      </c>
      <c r="E5" s="55" t="n">
        <v>167753.52</v>
      </c>
      <c r="F5" s="56" t="n">
        <v>13979.46</v>
      </c>
      <c r="G5" s="56" t="n">
        <v>324.22404329339</v>
      </c>
      <c r="H5" s="55" t="n">
        <v>40335</v>
      </c>
      <c r="I5" s="55" t="n">
        <v>41386</v>
      </c>
      <c r="J5" s="55" t="n">
        <v>18114</v>
      </c>
      <c r="K5" s="55"/>
      <c r="L5" s="55"/>
      <c r="M5" s="55"/>
      <c r="N5" s="55" t="n">
        <v>1574000</v>
      </c>
      <c r="O5" s="55" t="n">
        <v>1478116</v>
      </c>
      <c r="P5" s="57" t="n">
        <v>0.939082592121982</v>
      </c>
      <c r="Q5" s="57" t="n">
        <v>0.106577839898348</v>
      </c>
      <c r="R5" s="55"/>
      <c r="S5" s="55" t="n">
        <v>0</v>
      </c>
      <c r="T5" s="57" t="n">
        <v>0</v>
      </c>
      <c r="U5" s="55" t="n">
        <v>-1574000</v>
      </c>
      <c r="V5" s="53" t="n">
        <v>0</v>
      </c>
    </row>
    <row r="6" customFormat="false" ht="21.75" hidden="false" customHeight="true" outlineLevel="0" collapsed="false">
      <c r="A6" s="58" t="s">
        <v>145</v>
      </c>
      <c r="B6" s="59" t="n">
        <v>8</v>
      </c>
      <c r="C6" s="60" t="n">
        <v>756.94</v>
      </c>
      <c r="D6" s="61" t="n">
        <v>1940000</v>
      </c>
      <c r="E6" s="61" t="n">
        <v>225672.32</v>
      </c>
      <c r="F6" s="62" t="n">
        <v>18806.0266666667</v>
      </c>
      <c r="G6" s="62" t="n">
        <v>298.137659523873</v>
      </c>
      <c r="H6" s="61" t="n">
        <v>54068.09</v>
      </c>
      <c r="I6" s="61" t="n">
        <v>54938.08</v>
      </c>
      <c r="J6" s="61" t="n">
        <v>15882.8</v>
      </c>
      <c r="K6" s="61" t="n">
        <v>10259</v>
      </c>
      <c r="L6" s="61" t="n">
        <v>-5623.8</v>
      </c>
      <c r="M6" s="61" t="n">
        <v>3826</v>
      </c>
      <c r="N6" s="61" t="n">
        <v>1940000</v>
      </c>
      <c r="O6" s="61" t="n">
        <v>1779435</v>
      </c>
      <c r="P6" s="63" t="n">
        <v>0.917234536082475</v>
      </c>
      <c r="Q6" s="63" t="n">
        <v>0.11632593814433</v>
      </c>
      <c r="R6" s="61"/>
      <c r="S6" s="61" t="n">
        <v>0</v>
      </c>
      <c r="T6" s="63" t="n">
        <v>0</v>
      </c>
      <c r="U6" s="61" t="n">
        <v>-1940000</v>
      </c>
      <c r="V6" s="59" t="n">
        <v>0</v>
      </c>
    </row>
    <row r="7" customFormat="false" ht="21.75" hidden="false" customHeight="true" outlineLevel="0" collapsed="false">
      <c r="A7" s="52" t="s">
        <v>185</v>
      </c>
      <c r="B7" s="53" t="n">
        <v>2</v>
      </c>
      <c r="C7" s="54" t="n">
        <v>423.1</v>
      </c>
      <c r="D7" s="55" t="n">
        <v>1030000</v>
      </c>
      <c r="E7" s="55" t="n">
        <v>109777.2</v>
      </c>
      <c r="F7" s="56" t="n">
        <v>9148.1</v>
      </c>
      <c r="G7" s="56" t="n">
        <v>259.459229496573</v>
      </c>
      <c r="H7" s="55" t="n">
        <v>20714</v>
      </c>
      <c r="I7" s="55" t="n">
        <v>24205</v>
      </c>
      <c r="J7" s="55" t="n">
        <v>13000</v>
      </c>
      <c r="K7" s="55" t="n">
        <v>8405</v>
      </c>
      <c r="L7" s="55" t="n">
        <v>-4595</v>
      </c>
      <c r="M7" s="55" t="n">
        <v>10839</v>
      </c>
      <c r="N7" s="55" t="n">
        <v>1030000</v>
      </c>
      <c r="O7" s="55" t="n">
        <v>427106</v>
      </c>
      <c r="P7" s="57" t="n">
        <v>0.414666019417476</v>
      </c>
      <c r="Q7" s="57" t="n">
        <v>0.106579805825243</v>
      </c>
      <c r="R7" s="55"/>
      <c r="S7" s="55" t="n">
        <v>0</v>
      </c>
      <c r="T7" s="57" t="n">
        <v>0</v>
      </c>
      <c r="U7" s="55" t="n">
        <v>-1030000</v>
      </c>
      <c r="V7" s="53" t="n">
        <v>0</v>
      </c>
    </row>
    <row r="8" customFormat="false" ht="21.75" hidden="false" customHeight="true" outlineLevel="0" collapsed="false">
      <c r="A8" s="58" t="s">
        <v>211</v>
      </c>
      <c r="B8" s="59" t="n">
        <v>1</v>
      </c>
      <c r="C8" s="60" t="n">
        <v>238</v>
      </c>
      <c r="D8" s="61" t="n">
        <v>1337730.6</v>
      </c>
      <c r="E8" s="61" t="n">
        <v>21666.67</v>
      </c>
      <c r="F8" s="62" t="n">
        <v>1805.55583333333</v>
      </c>
      <c r="G8" s="62" t="n">
        <v>91.0364285714286</v>
      </c>
      <c r="H8" s="61" t="n">
        <v>16250</v>
      </c>
      <c r="I8" s="61" t="n">
        <v>16250</v>
      </c>
      <c r="J8" s="61" t="n">
        <v>991.67</v>
      </c>
      <c r="K8" s="61"/>
      <c r="L8" s="61"/>
      <c r="M8" s="61"/>
      <c r="N8" s="61" t="n">
        <v>1408923</v>
      </c>
      <c r="O8" s="61" t="n">
        <v>1408923</v>
      </c>
      <c r="P8" s="63" t="n">
        <v>1.05321878710108</v>
      </c>
      <c r="Q8" s="63" t="n">
        <v>0.0161965869660154</v>
      </c>
      <c r="R8" s="61"/>
      <c r="S8" s="61" t="n">
        <v>0</v>
      </c>
      <c r="T8" s="63" t="n">
        <v>0</v>
      </c>
      <c r="U8" s="61" t="n">
        <v>-1337730.6</v>
      </c>
      <c r="V8" s="59" t="n">
        <v>0</v>
      </c>
    </row>
    <row r="9" customFormat="false" ht="21.75" hidden="false" customHeight="true" outlineLevel="0" collapsed="false">
      <c r="A9" s="64" t="s">
        <v>244</v>
      </c>
      <c r="B9" s="65" t="n">
        <f aca="false">SUM(B3:B8)</f>
        <v>22</v>
      </c>
      <c r="C9" s="66" t="n">
        <f aca="false">SUM(C3:C8)</f>
        <v>3140.34</v>
      </c>
      <c r="D9" s="67" t="n">
        <f aca="false">SUM(D3:D8)</f>
        <v>7279638.6</v>
      </c>
      <c r="E9" s="67" t="n">
        <f aca="false">SUM(E3:E8)</f>
        <v>800465.05</v>
      </c>
      <c r="F9" s="68" t="n">
        <f aca="false">SUM(F3:F8)</f>
        <v>66705.4208333334</v>
      </c>
      <c r="G9" s="68" t="n">
        <f aca="false">IFERROR(E9/C9,0)</f>
        <v>254.897574784896</v>
      </c>
      <c r="H9" s="67" t="n">
        <f aca="false">SUM(H3:H8)</f>
        <v>198216.09</v>
      </c>
      <c r="I9" s="67" t="n">
        <f aca="false">SUM(I3:I8)</f>
        <v>199810.08</v>
      </c>
      <c r="J9" s="67" t="n">
        <f aca="false">SUM(J3:J8)</f>
        <v>75836.81</v>
      </c>
      <c r="K9" s="67" t="n">
        <f aca="false">SUM(K3:K8)</f>
        <v>30513.69</v>
      </c>
      <c r="L9" s="67" t="n">
        <f aca="false">SUM(L3:L8)</f>
        <v>-10317.45</v>
      </c>
      <c r="M9" s="67" t="n">
        <f aca="false">SUM(M3:M8)</f>
        <v>14665</v>
      </c>
      <c r="N9" s="67" t="n">
        <f aca="false">SUM(N3:N8)</f>
        <v>9269535</v>
      </c>
      <c r="O9" s="67" t="n">
        <f aca="false">SUM(O3:O8)</f>
        <v>7884860.40998385</v>
      </c>
      <c r="P9" s="69" t="n">
        <f aca="false">IFERROR(O9/D9,0)</f>
        <v>1.08313899126584</v>
      </c>
      <c r="Q9" s="69" t="n">
        <f aca="false">IFERROR(E9/D9,0)</f>
        <v>0.109959449085838</v>
      </c>
      <c r="R9" s="67" t="n">
        <f aca="false">SUM(R3:R8)</f>
        <v>70000</v>
      </c>
      <c r="S9" s="67" t="n">
        <f aca="false">SUM(S3:S8)</f>
        <v>0</v>
      </c>
      <c r="T9" s="69" t="n">
        <f aca="false">IFERROR(O9/S9,0)</f>
        <v>0</v>
      </c>
      <c r="U9" s="67" t="n">
        <f aca="false">SUM(U3:U8)</f>
        <v>-7279638.6</v>
      </c>
      <c r="V9" s="65" t="n">
        <f aca="false">SUM(V3:V8)</f>
        <v>0</v>
      </c>
    </row>
    <row r="10" customFormat="false" ht="24" hidden="false" customHeight="true" outlineLevel="0" collapsed="false"/>
  </sheetData>
  <autoFilter ref="A3:Q9"/>
  <mergeCells count="1">
    <mergeCell ref="A1:V1"/>
  </mergeCells>
  <conditionalFormatting sqref="K4:K9">
    <cfRule type="cellIs" priority="2" operator="greaterThan" aboveAverage="0" equalAverage="0" bottom="0" percent="0" rank="0" text="" dxfId="10">
      <formula>1</formula>
    </cfRule>
    <cfRule type="cellIs" priority="3" operator="between" aboveAverage="0" equalAverage="0" bottom="0" percent="0" rank="0" text="" dxfId="11">
      <formula>0.7</formula>
      <formula>1</formula>
    </cfRule>
    <cfRule type="cellIs" priority="4" operator="lessThan" aboveAverage="0" equalAverage="0" bottom="0" percent="0" rank="0" text="" dxfId="12">
      <formula>0.5</formula>
    </cfRule>
  </conditionalFormatting>
  <conditionalFormatting sqref="L4:L9">
    <cfRule type="cellIs" priority="5" operator="lessThan" aboveAverage="0" equalAverage="0" bottom="0" percent="0" rank="0" text="" dxfId="10">
      <formula>0.05</formula>
    </cfRule>
    <cfRule type="cellIs" priority="6" operator="greaterThan" aboveAverage="0" equalAverage="0" bottom="0" percent="0" rank="0" text="" dxfId="12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2" min="9" style="1" width="14"/>
    <col collapsed="false" customWidth="true" hidden="false" outlineLevel="0" max="13" min="13" style="1" width="16"/>
  </cols>
  <sheetData>
    <row r="1" customFormat="false" ht="25.5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37.5" hidden="false" customHeight="true" outlineLevel="0" collapsed="false">
      <c r="A3" s="70" t="s">
        <v>246</v>
      </c>
      <c r="B3" s="70" t="s">
        <v>247</v>
      </c>
      <c r="C3" s="70" t="s">
        <v>248</v>
      </c>
      <c r="D3" s="70" t="s">
        <v>249</v>
      </c>
      <c r="E3" s="70" t="s">
        <v>250</v>
      </c>
      <c r="F3" s="70" t="s">
        <v>39</v>
      </c>
      <c r="G3" s="70" t="s">
        <v>251</v>
      </c>
      <c r="H3" s="70" t="s">
        <v>252</v>
      </c>
      <c r="I3" s="70" t="s">
        <v>253</v>
      </c>
      <c r="J3" s="70" t="s">
        <v>254</v>
      </c>
      <c r="K3" s="70" t="s">
        <v>255</v>
      </c>
      <c r="L3" s="70" t="s">
        <v>256</v>
      </c>
      <c r="M3" s="70" t="s">
        <v>257</v>
      </c>
    </row>
    <row r="4" customFormat="false" ht="15" hidden="false" customHeight="true" outlineLevel="0" collapsed="false">
      <c r="A4" s="71" t="s">
        <v>258</v>
      </c>
      <c r="B4" s="71"/>
      <c r="C4" s="71" t="s">
        <v>154</v>
      </c>
      <c r="D4" s="71" t="s">
        <v>259</v>
      </c>
      <c r="E4" s="12" t="n">
        <v>435000</v>
      </c>
      <c r="F4" s="18" t="n">
        <v>0.013</v>
      </c>
      <c r="G4" s="11" t="n">
        <v>44140</v>
      </c>
      <c r="H4" s="12" t="n">
        <v>0</v>
      </c>
      <c r="I4" s="12" t="n">
        <v>0.00288122880738229</v>
      </c>
      <c r="J4" s="12" t="n">
        <v>0</v>
      </c>
      <c r="K4" s="12" t="n">
        <v>0</v>
      </c>
      <c r="L4" s="12" t="n">
        <v>0</v>
      </c>
      <c r="M4" s="71" t="s">
        <v>260</v>
      </c>
    </row>
    <row r="5" customFormat="false" ht="15" hidden="false" customHeight="true" outlineLevel="0" collapsed="false">
      <c r="A5" s="71" t="s">
        <v>261</v>
      </c>
      <c r="B5" s="71"/>
      <c r="C5" s="71" t="s">
        <v>154</v>
      </c>
      <c r="D5" s="71" t="s">
        <v>262</v>
      </c>
      <c r="E5" s="12" t="n">
        <v>409000</v>
      </c>
      <c r="F5" s="18" t="n">
        <v>0.0135</v>
      </c>
      <c r="G5" s="11" t="n">
        <v>44656</v>
      </c>
      <c r="H5" s="12" t="n">
        <v>32429.52</v>
      </c>
      <c r="I5" s="12" t="n">
        <v>305556.773691274</v>
      </c>
      <c r="J5" s="12" t="n">
        <v>277076.477602022</v>
      </c>
      <c r="K5" s="12" t="n">
        <v>159234</v>
      </c>
      <c r="L5" s="12" t="n">
        <v>0</v>
      </c>
      <c r="M5" s="71" t="s">
        <v>263</v>
      </c>
    </row>
    <row r="6" customFormat="false" ht="15" hidden="false" customHeight="true" outlineLevel="0" collapsed="false">
      <c r="A6" s="71" t="s">
        <v>261</v>
      </c>
      <c r="B6" s="71"/>
      <c r="C6" s="71" t="s">
        <v>154</v>
      </c>
      <c r="D6" s="71" t="s">
        <v>262</v>
      </c>
      <c r="E6" s="12" t="n">
        <v>1515000</v>
      </c>
      <c r="F6" s="18" t="n">
        <v>0.0135</v>
      </c>
      <c r="G6" s="11" t="n">
        <v>44814</v>
      </c>
      <c r="H6" s="12" t="n">
        <v>120123.84</v>
      </c>
      <c r="I6" s="12" t="n">
        <v>1175368.78299935</v>
      </c>
      <c r="J6" s="12" t="n">
        <v>1070464.91012579</v>
      </c>
      <c r="K6" s="12" t="n">
        <v>636405</v>
      </c>
      <c r="L6" s="12" t="n">
        <v>59826</v>
      </c>
      <c r="M6" s="71" t="s">
        <v>263</v>
      </c>
    </row>
    <row r="7" customFormat="false" ht="15" hidden="false" customHeight="true" outlineLevel="0" collapsed="false">
      <c r="A7" s="71" t="s">
        <v>264</v>
      </c>
      <c r="B7" s="71"/>
      <c r="C7" s="71" t="s">
        <v>135</v>
      </c>
      <c r="D7" s="71" t="s">
        <v>262</v>
      </c>
      <c r="E7" s="12" t="n">
        <v>350000</v>
      </c>
      <c r="F7" s="18" t="n">
        <v>0.0353</v>
      </c>
      <c r="G7" s="11" t="n">
        <v>45701</v>
      </c>
      <c r="H7" s="12" t="n">
        <v>56504.76</v>
      </c>
      <c r="I7" s="12" t="n">
        <v>308928.84723423</v>
      </c>
      <c r="J7" s="12" t="n">
        <v>262584.230187138</v>
      </c>
      <c r="K7" s="12" t="n">
        <v>59972</v>
      </c>
      <c r="L7" s="12"/>
      <c r="M7" s="71" t="s">
        <v>263</v>
      </c>
    </row>
    <row r="8" customFormat="false" ht="15" hidden="false" customHeight="true" outlineLevel="0" collapsed="false">
      <c r="A8" s="71" t="s">
        <v>265</v>
      </c>
      <c r="B8" s="71"/>
      <c r="C8" s="71" t="s">
        <v>194</v>
      </c>
      <c r="D8" s="71" t="s">
        <v>266</v>
      </c>
      <c r="E8" s="12" t="n">
        <v>239977.57</v>
      </c>
      <c r="F8" s="18" t="n">
        <v>0.01</v>
      </c>
      <c r="G8" s="11" t="n">
        <v>43118</v>
      </c>
      <c r="H8" s="12" t="n">
        <v>5221.41755833297</v>
      </c>
      <c r="I8" s="12" t="n">
        <v>5217.06999999963</v>
      </c>
      <c r="J8" s="12" t="n">
        <v>0</v>
      </c>
      <c r="K8" s="12"/>
      <c r="L8" s="12"/>
      <c r="M8" s="71" t="s">
        <v>260</v>
      </c>
    </row>
    <row r="9" customFormat="false" ht="15" hidden="false" customHeight="true" outlineLevel="0" collapsed="false">
      <c r="A9" s="71" t="s">
        <v>267</v>
      </c>
      <c r="B9" s="71"/>
      <c r="C9" s="71" t="s">
        <v>194</v>
      </c>
      <c r="D9" s="71" t="s">
        <v>268</v>
      </c>
      <c r="E9" s="12" t="n">
        <v>1600000</v>
      </c>
      <c r="F9" s="18" t="n">
        <v>0.015</v>
      </c>
      <c r="G9" s="11" t="n">
        <v>43101</v>
      </c>
      <c r="H9" s="12" t="n">
        <v>0</v>
      </c>
      <c r="I9" s="12" t="n">
        <v>0</v>
      </c>
      <c r="J9" s="12" t="n">
        <v>0</v>
      </c>
      <c r="K9" s="12"/>
      <c r="L9" s="12"/>
      <c r="M9" s="71" t="s">
        <v>260</v>
      </c>
    </row>
    <row r="10" customFormat="false" ht="15" hidden="false" customHeight="true" outlineLevel="0" collapsed="false">
      <c r="A10" s="71" t="s">
        <v>269</v>
      </c>
      <c r="B10" s="71"/>
      <c r="C10" s="71" t="s">
        <v>154</v>
      </c>
      <c r="D10" s="71" t="s">
        <v>270</v>
      </c>
      <c r="E10" s="12" t="n">
        <v>1350000</v>
      </c>
      <c r="F10" s="18" t="n">
        <v>0.0208</v>
      </c>
      <c r="G10" s="11" t="n">
        <v>42883</v>
      </c>
      <c r="H10" s="12" t="n">
        <v>0</v>
      </c>
      <c r="I10" s="12" t="n">
        <v>0</v>
      </c>
      <c r="J10" s="12" t="n">
        <v>0</v>
      </c>
      <c r="K10" s="12"/>
      <c r="L10" s="12"/>
      <c r="M10" s="71" t="s">
        <v>260</v>
      </c>
    </row>
    <row r="11" customFormat="false" ht="15" hidden="false" customHeight="true" outlineLevel="0" collapsed="false">
      <c r="A11" s="71" t="s">
        <v>271</v>
      </c>
      <c r="B11" s="71"/>
      <c r="C11" s="71" t="s">
        <v>135</v>
      </c>
      <c r="D11" s="71" t="s">
        <v>266</v>
      </c>
      <c r="E11" s="12" t="n">
        <v>780000</v>
      </c>
      <c r="F11" s="18" t="n">
        <v>0.0189</v>
      </c>
      <c r="G11" s="11" t="n">
        <v>43315</v>
      </c>
      <c r="H11" s="12" t="n">
        <v>59759.4804802855</v>
      </c>
      <c r="I11" s="12" t="n">
        <v>421888.905498741</v>
      </c>
      <c r="J11" s="12" t="n">
        <v>369652.16752448</v>
      </c>
      <c r="K11" s="12" t="n">
        <v>150155</v>
      </c>
      <c r="L11" s="12"/>
      <c r="M11" s="71" t="s">
        <v>263</v>
      </c>
    </row>
    <row r="12" customFormat="false" ht="15" hidden="false" customHeight="true" outlineLevel="0" collapsed="false">
      <c r="A12" s="71" t="s">
        <v>272</v>
      </c>
      <c r="B12" s="71"/>
      <c r="C12" s="71" t="s">
        <v>123</v>
      </c>
      <c r="D12" s="71" t="s">
        <v>273</v>
      </c>
      <c r="E12" s="12" t="n">
        <v>665000</v>
      </c>
      <c r="F12" s="18" t="n">
        <v>0.014</v>
      </c>
      <c r="G12" s="11" t="n">
        <v>45021</v>
      </c>
      <c r="H12" s="12" t="n">
        <v>49252.44</v>
      </c>
      <c r="I12" s="12" t="n">
        <v>553109.8148461</v>
      </c>
      <c r="J12" s="12" t="n">
        <v>511333.524937396</v>
      </c>
      <c r="K12" s="12" t="n">
        <v>338258</v>
      </c>
      <c r="L12" s="12" t="n">
        <v>107838</v>
      </c>
      <c r="M12" s="71" t="s">
        <v>263</v>
      </c>
    </row>
    <row r="13" customFormat="false" ht="15" hidden="false" customHeight="true" outlineLevel="0" collapsed="false">
      <c r="A13" s="71" t="s">
        <v>274</v>
      </c>
      <c r="B13" s="71"/>
      <c r="C13" s="71" t="s">
        <v>111</v>
      </c>
      <c r="D13" s="71" t="s">
        <v>273</v>
      </c>
      <c r="E13" s="12" t="n">
        <v>377612</v>
      </c>
      <c r="F13" s="18" t="n">
        <v>0.018</v>
      </c>
      <c r="G13" s="11" t="n">
        <v>44964</v>
      </c>
      <c r="H13" s="12" t="n">
        <v>29607.84</v>
      </c>
      <c r="I13" s="12" t="n">
        <v>309355.542741413</v>
      </c>
      <c r="J13" s="12" t="n">
        <v>285116.782147158</v>
      </c>
      <c r="K13" s="12" t="n">
        <v>183682</v>
      </c>
      <c r="L13" s="12" t="n">
        <v>46183</v>
      </c>
      <c r="M13" s="71" t="s">
        <v>263</v>
      </c>
    </row>
    <row r="14" customFormat="false" ht="34.5" hidden="false" customHeight="true" outlineLevel="0" collapsed="false">
      <c r="A14" s="71" t="s">
        <v>275</v>
      </c>
      <c r="B14" s="71"/>
      <c r="C14" s="71" t="s">
        <v>111</v>
      </c>
      <c r="D14" s="71" t="s">
        <v>276</v>
      </c>
      <c r="E14" s="12" t="n">
        <v>734000</v>
      </c>
      <c r="F14" s="18" t="n">
        <v>0.046</v>
      </c>
      <c r="G14" s="11" t="n">
        <v>45227</v>
      </c>
      <c r="H14" s="12" t="n">
        <v>71400.92</v>
      </c>
      <c r="I14" s="12" t="n">
        <v>685859.273127444</v>
      </c>
      <c r="J14" s="12" t="n">
        <v>645315.157655504</v>
      </c>
      <c r="K14" s="12" t="n">
        <v>463255</v>
      </c>
      <c r="L14" s="12" t="n">
        <v>183453</v>
      </c>
      <c r="M14" s="71" t="s">
        <v>263</v>
      </c>
    </row>
    <row r="15" customFormat="false" ht="15" hidden="false" customHeight="true" outlineLevel="0" collapsed="false">
      <c r="A15" s="71" t="s">
        <v>277</v>
      </c>
      <c r="B15" s="71"/>
      <c r="C15" s="71" t="s">
        <v>154</v>
      </c>
      <c r="D15" s="71" t="s">
        <v>278</v>
      </c>
      <c r="E15" s="12" t="n">
        <v>1408923</v>
      </c>
      <c r="F15" s="18" t="n">
        <v>0.0493</v>
      </c>
      <c r="G15" s="11" t="n">
        <v>45327</v>
      </c>
      <c r="H15" s="12" t="n">
        <v>112600.56</v>
      </c>
      <c r="I15" s="12" t="n">
        <v>1357225.85472374</v>
      </c>
      <c r="J15" s="12" t="n">
        <v>1310489.8714441</v>
      </c>
      <c r="K15" s="12" t="n">
        <v>1085219</v>
      </c>
      <c r="L15" s="12" t="n">
        <v>724828</v>
      </c>
      <c r="M15" s="71" t="s">
        <v>263</v>
      </c>
    </row>
    <row r="16" customFormat="false" ht="15" hidden="false" customHeight="true" outlineLevel="0" collapsed="false">
      <c r="A16" s="71" t="s">
        <v>279</v>
      </c>
      <c r="B16" s="71"/>
      <c r="C16" s="71" t="s">
        <v>154</v>
      </c>
      <c r="D16" s="71" t="s">
        <v>280</v>
      </c>
      <c r="E16" s="12" t="n">
        <v>1200000</v>
      </c>
      <c r="F16" s="18" t="n">
        <v>0.051</v>
      </c>
      <c r="G16" s="11" t="n">
        <v>45163</v>
      </c>
      <c r="H16" s="12" t="n">
        <v>114625.816827991</v>
      </c>
      <c r="I16" s="12" t="n">
        <v>1092667.84757248</v>
      </c>
      <c r="J16" s="12" t="n">
        <v>1032371.61696564</v>
      </c>
      <c r="K16" s="12" t="n">
        <v>758020</v>
      </c>
      <c r="L16" s="12" t="n">
        <v>326402</v>
      </c>
      <c r="M16" s="71" t="s">
        <v>263</v>
      </c>
    </row>
    <row r="17" customFormat="false" ht="15" hidden="false" customHeight="true" outlineLevel="0" collapsed="false">
      <c r="A17" s="71" t="s">
        <v>281</v>
      </c>
      <c r="B17" s="71"/>
      <c r="C17" s="71" t="s">
        <v>111</v>
      </c>
      <c r="D17" s="71" t="s">
        <v>280</v>
      </c>
      <c r="E17" s="12" t="n">
        <v>740000</v>
      </c>
      <c r="F17" s="18" t="n">
        <v>0.046</v>
      </c>
      <c r="G17" s="11" t="n">
        <v>45503</v>
      </c>
      <c r="H17" s="12" t="n">
        <v>68386.1167302179</v>
      </c>
      <c r="I17" s="12" t="n">
        <v>686767.340365512</v>
      </c>
      <c r="J17" s="12" t="n">
        <v>649186.765378868</v>
      </c>
      <c r="K17" s="12" t="n">
        <v>480359</v>
      </c>
      <c r="L17" s="12" t="n">
        <v>220688</v>
      </c>
      <c r="M17" s="71" t="s">
        <v>263</v>
      </c>
    </row>
    <row r="18" customFormat="false" ht="34.5" hidden="false" customHeight="true" outlineLevel="0" collapsed="false">
      <c r="A18" s="71" t="s">
        <v>282</v>
      </c>
      <c r="B18" s="71"/>
      <c r="C18" s="71" t="s">
        <v>135</v>
      </c>
      <c r="D18" s="71" t="s">
        <v>276</v>
      </c>
      <c r="E18" s="12" t="n">
        <v>840000</v>
      </c>
      <c r="F18" s="18" t="n">
        <v>0.0453</v>
      </c>
      <c r="G18" s="11" t="n">
        <v>45275</v>
      </c>
      <c r="H18" s="12" t="n">
        <v>81133.2</v>
      </c>
      <c r="I18" s="12" t="n">
        <v>792256.823927265</v>
      </c>
      <c r="J18" s="12" t="n">
        <v>746061.558695654</v>
      </c>
      <c r="K18" s="12" t="n">
        <v>538903</v>
      </c>
      <c r="L18" s="12" t="n">
        <v>221281</v>
      </c>
      <c r="M18" s="71" t="s">
        <v>263</v>
      </c>
    </row>
    <row r="19" customFormat="false" ht="15" hidden="false" customHeight="true" outlineLevel="0" collapsed="false">
      <c r="A19" s="71" t="s">
        <v>283</v>
      </c>
      <c r="B19" s="71"/>
      <c r="C19" s="71" t="s">
        <v>111</v>
      </c>
      <c r="D19" s="71" t="s">
        <v>284</v>
      </c>
      <c r="E19" s="12" t="n">
        <v>900000</v>
      </c>
      <c r="F19" s="18" t="n">
        <v>0.012</v>
      </c>
      <c r="G19" s="11" t="n">
        <v>44742</v>
      </c>
      <c r="H19" s="12" t="n">
        <v>134432.123589128</v>
      </c>
      <c r="I19" s="12" t="n">
        <v>394960.846922723</v>
      </c>
      <c r="J19" s="12" t="n">
        <v>264879.17571639</v>
      </c>
      <c r="K19" s="12" t="n">
        <v>0</v>
      </c>
      <c r="L19" s="12" t="n">
        <v>0</v>
      </c>
      <c r="M19" s="71" t="s">
        <v>263</v>
      </c>
    </row>
    <row r="20" customFormat="false" ht="15" hidden="false" customHeight="true" outlineLevel="0" collapsed="false">
      <c r="A20" s="71" t="s">
        <v>283</v>
      </c>
      <c r="B20" s="71"/>
      <c r="C20" s="71" t="s">
        <v>111</v>
      </c>
      <c r="D20" s="71" t="s">
        <v>285</v>
      </c>
      <c r="E20" s="12" t="n">
        <v>900000</v>
      </c>
      <c r="F20" s="18" t="n">
        <v>0.012</v>
      </c>
      <c r="G20" s="11" t="n">
        <v>44742</v>
      </c>
      <c r="H20" s="12" t="n">
        <v>134432.123589128</v>
      </c>
      <c r="I20" s="12" t="n">
        <v>394960.846922723</v>
      </c>
      <c r="J20" s="12" t="n">
        <v>264879.17571639</v>
      </c>
      <c r="K20" s="12" t="n">
        <v>0</v>
      </c>
      <c r="L20" s="12" t="n">
        <v>0</v>
      </c>
      <c r="M20" s="71" t="s">
        <v>263</v>
      </c>
    </row>
    <row r="21" customFormat="false" ht="15" hidden="false" customHeight="true" outlineLevel="0" collapsed="false">
      <c r="A21" s="71" t="s">
        <v>286</v>
      </c>
      <c r="B21" s="71"/>
      <c r="C21" s="71" t="s">
        <v>194</v>
      </c>
      <c r="D21" s="71" t="s">
        <v>284</v>
      </c>
      <c r="E21" s="12" t="n">
        <v>793000</v>
      </c>
      <c r="F21" s="18" t="n">
        <v>0.00781</v>
      </c>
      <c r="G21" s="11" t="n">
        <v>43637</v>
      </c>
      <c r="H21" s="12" t="n">
        <v>117674.14</v>
      </c>
      <c r="I21" s="12" t="n">
        <v>113285.785928677</v>
      </c>
      <c r="J21" s="12" t="n">
        <v>0</v>
      </c>
      <c r="K21" s="12" t="n">
        <v>0</v>
      </c>
      <c r="L21" s="12" t="n">
        <v>0</v>
      </c>
      <c r="M21" s="71" t="s">
        <v>260</v>
      </c>
    </row>
    <row r="22" customFormat="false" ht="15" hidden="false" customHeight="true" outlineLevel="0" collapsed="false">
      <c r="A22" s="71" t="s">
        <v>286</v>
      </c>
      <c r="B22" s="71"/>
      <c r="C22" s="71" t="s">
        <v>194</v>
      </c>
      <c r="D22" s="71" t="s">
        <v>285</v>
      </c>
      <c r="E22" s="12" t="n">
        <v>793000</v>
      </c>
      <c r="F22" s="18" t="n">
        <v>0.00781</v>
      </c>
      <c r="G22" s="11" t="n">
        <v>43637</v>
      </c>
      <c r="H22" s="12" t="n">
        <v>117674.14</v>
      </c>
      <c r="I22" s="12" t="n">
        <v>113285.785928677</v>
      </c>
      <c r="J22" s="12" t="n">
        <v>0</v>
      </c>
      <c r="K22" s="12" t="n">
        <v>0</v>
      </c>
      <c r="L22" s="12" t="n">
        <v>0</v>
      </c>
      <c r="M22" s="71" t="s">
        <v>260</v>
      </c>
    </row>
    <row r="23" customFormat="false" ht="15" hidden="false" customHeight="true" outlineLevel="0" collapsed="false">
      <c r="A23" s="72" t="s">
        <v>244</v>
      </c>
      <c r="B23" s="73"/>
      <c r="C23" s="73"/>
      <c r="D23" s="73"/>
      <c r="E23" s="74" t="n">
        <f aca="false">SUM(E4:E22)</f>
        <v>16030512.57</v>
      </c>
      <c r="F23" s="73"/>
      <c r="G23" s="73"/>
      <c r="H23" s="74" t="n">
        <f aca="false">SUM(H4:H22)</f>
        <v>1305258.43877508</v>
      </c>
      <c r="I23" s="74" t="n">
        <f aca="false">SUM(I4:I22)</f>
        <v>8710696.14531158</v>
      </c>
      <c r="J23" s="74" t="n">
        <f aca="false">SUM(J4:J22)</f>
        <v>7689411.41409653</v>
      </c>
      <c r="K23" s="74" t="n">
        <f aca="false">SUM(K4:K22)</f>
        <v>4853462</v>
      </c>
      <c r="L23" s="74" t="n">
        <f aca="false">SUM(L4:L22)</f>
        <v>1890499</v>
      </c>
      <c r="M23" s="73"/>
    </row>
  </sheetData>
  <autoFilter ref="A3:M22"/>
  <mergeCells count="1">
    <mergeCell ref="A1:M1"/>
  </mergeCells>
  <conditionalFormatting sqref="J4:J22">
    <cfRule type="cellIs" priority="2" operator="equal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8" min="6" style="1" width="8"/>
    <col collapsed="false" customWidth="true" hidden="false" outlineLevel="0" max="12" min="9" style="1" width="10"/>
  </cols>
  <sheetData>
    <row r="1" customFormat="false" ht="25.5" hidden="false" customHeight="true" outlineLevel="0" collapsed="false">
      <c r="A1" s="2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37.5" hidden="false" customHeight="true" outlineLevel="0" collapsed="false">
      <c r="A3" s="70" t="s">
        <v>288</v>
      </c>
      <c r="B3" s="70" t="s">
        <v>289</v>
      </c>
      <c r="C3" s="70" t="s">
        <v>3</v>
      </c>
      <c r="D3" s="70" t="s">
        <v>5</v>
      </c>
      <c r="E3" s="70" t="s">
        <v>290</v>
      </c>
      <c r="F3" s="70" t="s">
        <v>291</v>
      </c>
      <c r="G3" s="70" t="s">
        <v>292</v>
      </c>
      <c r="H3" s="70" t="s">
        <v>293</v>
      </c>
      <c r="I3" s="70" t="s">
        <v>294</v>
      </c>
      <c r="J3" s="70" t="s">
        <v>295</v>
      </c>
      <c r="K3" s="70" t="s">
        <v>296</v>
      </c>
      <c r="L3" s="70" t="s">
        <v>297</v>
      </c>
    </row>
    <row r="4" customFormat="false" ht="15" hidden="false" customHeight="true" outlineLevel="0" collapsed="false">
      <c r="A4" s="71" t="s">
        <v>298</v>
      </c>
      <c r="B4" s="71" t="s">
        <v>198</v>
      </c>
      <c r="C4" s="71" t="s">
        <v>299</v>
      </c>
      <c r="D4" s="71" t="s">
        <v>300</v>
      </c>
      <c r="E4" s="8" t="n">
        <v>128</v>
      </c>
      <c r="F4" s="8" t="n">
        <v>123</v>
      </c>
      <c r="G4" s="8" t="n">
        <v>2</v>
      </c>
      <c r="H4" s="8" t="n">
        <v>3</v>
      </c>
      <c r="I4" s="8" t="n">
        <v>4</v>
      </c>
      <c r="J4" s="8" t="n">
        <v>0</v>
      </c>
      <c r="K4" s="8" t="n">
        <v>46</v>
      </c>
      <c r="L4" s="8" t="n">
        <v>76</v>
      </c>
    </row>
    <row r="5" customFormat="false" ht="15" hidden="false" customHeight="true" outlineLevel="0" collapsed="false">
      <c r="A5" s="71" t="s">
        <v>301</v>
      </c>
      <c r="B5" s="71" t="s">
        <v>210</v>
      </c>
      <c r="C5" s="71" t="s">
        <v>299</v>
      </c>
      <c r="D5" s="71" t="s">
        <v>302</v>
      </c>
      <c r="E5" s="8" t="n">
        <v>129</v>
      </c>
      <c r="F5" s="8" t="n">
        <v>125</v>
      </c>
      <c r="G5" s="8" t="n">
        <v>3</v>
      </c>
      <c r="H5" s="8" t="n">
        <v>1</v>
      </c>
      <c r="I5" s="8" t="n">
        <v>0</v>
      </c>
      <c r="J5" s="8" t="n">
        <v>3</v>
      </c>
      <c r="K5" s="8" t="n">
        <v>50</v>
      </c>
      <c r="L5" s="8" t="n">
        <v>70</v>
      </c>
    </row>
    <row r="6" customFormat="false" ht="15" hidden="false" customHeight="true" outlineLevel="0" collapsed="false">
      <c r="A6" s="71" t="s">
        <v>303</v>
      </c>
      <c r="B6" s="71" t="s">
        <v>81</v>
      </c>
      <c r="C6" s="71" t="s">
        <v>304</v>
      </c>
      <c r="D6" s="71" t="s">
        <v>305</v>
      </c>
      <c r="E6" s="8" t="n">
        <v>181</v>
      </c>
      <c r="F6" s="8" t="n">
        <v>170</v>
      </c>
      <c r="G6" s="8" t="n">
        <v>3</v>
      </c>
      <c r="H6" s="8" t="n">
        <v>4</v>
      </c>
      <c r="I6" s="8" t="n">
        <v>12</v>
      </c>
      <c r="J6" s="8" t="n">
        <v>6</v>
      </c>
      <c r="K6" s="8" t="n">
        <v>26</v>
      </c>
      <c r="L6" s="8" t="n">
        <v>0</v>
      </c>
    </row>
    <row r="7" customFormat="false" ht="15" hidden="false" customHeight="true" outlineLevel="0" collapsed="false">
      <c r="A7" s="71" t="s">
        <v>306</v>
      </c>
      <c r="B7" s="71" t="s">
        <v>114</v>
      </c>
      <c r="C7" s="71" t="s">
        <v>307</v>
      </c>
      <c r="D7" s="71" t="s">
        <v>308</v>
      </c>
      <c r="E7" s="8" t="n">
        <v>83</v>
      </c>
      <c r="F7" s="8" t="n">
        <v>78</v>
      </c>
      <c r="G7" s="8" t="n">
        <v>2</v>
      </c>
      <c r="H7" s="8" t="n">
        <v>1</v>
      </c>
      <c r="I7" s="8" t="n">
        <v>4</v>
      </c>
      <c r="J7" s="8" t="n">
        <v>3</v>
      </c>
      <c r="K7" s="8" t="n">
        <v>20</v>
      </c>
      <c r="L7" s="8" t="n">
        <v>55</v>
      </c>
    </row>
    <row r="8" customFormat="false" ht="23.25" hidden="false" customHeight="true" outlineLevel="0" collapsed="false">
      <c r="A8" s="71" t="s">
        <v>309</v>
      </c>
      <c r="B8" s="71" t="s">
        <v>171</v>
      </c>
      <c r="C8" s="71" t="s">
        <v>310</v>
      </c>
      <c r="D8" s="71" t="s">
        <v>311</v>
      </c>
      <c r="E8" s="8" t="n">
        <v>240</v>
      </c>
      <c r="F8" s="8" t="n">
        <v>231</v>
      </c>
      <c r="G8" s="8" t="n">
        <v>3</v>
      </c>
      <c r="H8" s="8" t="n">
        <v>5</v>
      </c>
      <c r="I8" s="8" t="n">
        <v>9</v>
      </c>
      <c r="J8" s="8" t="n">
        <v>3</v>
      </c>
      <c r="K8" s="8" t="n">
        <v>101</v>
      </c>
      <c r="L8" s="8" t="n">
        <v>51</v>
      </c>
    </row>
    <row r="9" customFormat="false" ht="15" hidden="false" customHeight="true" outlineLevel="0" collapsed="false">
      <c r="A9" s="71" t="s">
        <v>312</v>
      </c>
      <c r="B9" s="71" t="s">
        <v>125</v>
      </c>
      <c r="C9" s="71" t="s">
        <v>307</v>
      </c>
      <c r="D9" s="71" t="s">
        <v>313</v>
      </c>
      <c r="E9" s="8" t="n">
        <v>77</v>
      </c>
      <c r="F9" s="8" t="n">
        <v>74</v>
      </c>
      <c r="G9" s="8" t="n">
        <v>1</v>
      </c>
      <c r="H9" s="8" t="n">
        <v>1</v>
      </c>
      <c r="I9" s="8" t="n">
        <v>2</v>
      </c>
      <c r="J9" s="8" t="n">
        <v>1</v>
      </c>
      <c r="K9" s="8" t="n">
        <v>20</v>
      </c>
      <c r="L9" s="8" t="n">
        <v>44</v>
      </c>
    </row>
    <row r="10" customFormat="false" ht="23.25" hidden="false" customHeight="true" outlineLevel="0" collapsed="false">
      <c r="A10" s="71" t="s">
        <v>314</v>
      </c>
      <c r="B10" s="71" t="s">
        <v>144</v>
      </c>
      <c r="C10" s="71" t="s">
        <v>315</v>
      </c>
      <c r="D10" s="71" t="s">
        <v>316</v>
      </c>
      <c r="E10" s="8" t="n">
        <v>48</v>
      </c>
      <c r="F10" s="8" t="n">
        <v>46</v>
      </c>
      <c r="G10" s="8" t="n">
        <v>1</v>
      </c>
      <c r="H10" s="8" t="n">
        <v>1</v>
      </c>
      <c r="I10" s="8" t="n">
        <v>2</v>
      </c>
      <c r="J10" s="8" t="n">
        <v>0</v>
      </c>
      <c r="K10" s="8" t="n">
        <v>0</v>
      </c>
      <c r="L10" s="8" t="n">
        <v>25</v>
      </c>
    </row>
    <row r="11" customFormat="false" ht="23.25" hidden="false" customHeight="true" outlineLevel="0" collapsed="false">
      <c r="A11" s="71" t="s">
        <v>317</v>
      </c>
      <c r="B11" s="71" t="s">
        <v>165</v>
      </c>
      <c r="C11" s="71" t="s">
        <v>318</v>
      </c>
      <c r="D11" s="71" t="s">
        <v>319</v>
      </c>
      <c r="E11" s="8" t="n">
        <v>16</v>
      </c>
      <c r="F11" s="8" t="n">
        <v>14</v>
      </c>
      <c r="G11" s="8" t="n">
        <v>1</v>
      </c>
      <c r="H11" s="8" t="n">
        <v>1</v>
      </c>
      <c r="I11" s="8" t="n">
        <v>2</v>
      </c>
      <c r="J11" s="8" t="n">
        <v>0</v>
      </c>
      <c r="K11" s="8" t="n">
        <v>12</v>
      </c>
      <c r="L11" s="8" t="n">
        <v>0</v>
      </c>
    </row>
    <row r="12" customFormat="false" ht="23.25" hidden="false" customHeight="true" outlineLevel="0" collapsed="false">
      <c r="A12" s="71" t="s">
        <v>320</v>
      </c>
      <c r="B12" s="71" t="s">
        <v>137</v>
      </c>
      <c r="C12" s="71" t="s">
        <v>321</v>
      </c>
      <c r="D12" s="71" t="s">
        <v>322</v>
      </c>
      <c r="E12" s="8" t="n">
        <v>38</v>
      </c>
      <c r="F12" s="8" t="n">
        <v>35</v>
      </c>
      <c r="G12" s="8" t="n">
        <v>2</v>
      </c>
      <c r="H12" s="8" t="n">
        <v>1</v>
      </c>
      <c r="I12" s="8" t="n">
        <v>2</v>
      </c>
      <c r="J12" s="8" t="n">
        <v>0</v>
      </c>
      <c r="K12" s="8" t="n">
        <v>14</v>
      </c>
      <c r="L12" s="8" t="n">
        <v>15</v>
      </c>
    </row>
    <row r="13" customFormat="false" ht="15" hidden="false" customHeight="true" outlineLevel="0" collapsed="false">
      <c r="A13" s="72" t="s">
        <v>222</v>
      </c>
      <c r="B13" s="73"/>
      <c r="C13" s="73"/>
      <c r="D13" s="73"/>
      <c r="E13" s="75" t="n">
        <f aca="false">SUM(E4:E12)</f>
        <v>940</v>
      </c>
      <c r="F13" s="75" t="n">
        <f aca="false">SUM(F4:F12)</f>
        <v>896</v>
      </c>
      <c r="G13" s="75" t="n">
        <f aca="false">SUM(G4:G12)</f>
        <v>18</v>
      </c>
      <c r="H13" s="75" t="n">
        <f aca="false">SUM(H4:H12)</f>
        <v>18</v>
      </c>
      <c r="I13" s="75" t="n">
        <f aca="false">SUM(I4:I12)</f>
        <v>37</v>
      </c>
      <c r="J13" s="75" t="n">
        <f aca="false">SUM(J4:J12)</f>
        <v>16</v>
      </c>
      <c r="K13" s="75" t="n">
        <f aca="false">SUM(K4:K12)</f>
        <v>289</v>
      </c>
      <c r="L13" s="75" t="n">
        <f aca="false">SUM(L4:L12)</f>
        <v>336</v>
      </c>
    </row>
  </sheetData>
  <autoFilter ref="A3:L1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5" min="4" style="1" width="32"/>
    <col collapsed="false" customWidth="true" hidden="false" outlineLevel="0" max="6" min="6" style="1" width="70"/>
  </cols>
  <sheetData>
    <row r="1" customFormat="false" ht="25.5" hidden="false" customHeight="true" outlineLevel="0" collapsed="false">
      <c r="A1" s="2" t="s">
        <v>323</v>
      </c>
      <c r="B1" s="2"/>
      <c r="C1" s="2"/>
      <c r="D1" s="2"/>
      <c r="E1" s="2"/>
      <c r="F1" s="2"/>
    </row>
    <row r="3" customFormat="false" ht="37.5" hidden="false" customHeight="true" outlineLevel="0" collapsed="false">
      <c r="A3" s="70" t="s">
        <v>324</v>
      </c>
      <c r="B3" s="70" t="s">
        <v>325</v>
      </c>
      <c r="C3" s="70" t="s">
        <v>3</v>
      </c>
      <c r="D3" s="70" t="s">
        <v>326</v>
      </c>
      <c r="E3" s="70" t="s">
        <v>18</v>
      </c>
      <c r="F3" s="70" t="s">
        <v>327</v>
      </c>
    </row>
    <row r="4" customFormat="false" ht="15" hidden="false" customHeight="true" outlineLevel="0" collapsed="false">
      <c r="A4" s="71" t="s">
        <v>328</v>
      </c>
      <c r="B4" s="71" t="s">
        <v>303</v>
      </c>
      <c r="C4" s="71" t="s">
        <v>64</v>
      </c>
      <c r="D4" s="71" t="s">
        <v>70</v>
      </c>
      <c r="E4" s="71" t="s">
        <v>71</v>
      </c>
      <c r="F4" s="71" t="s">
        <v>82</v>
      </c>
    </row>
    <row r="5" customFormat="false" ht="15" hidden="false" customHeight="true" outlineLevel="0" collapsed="false">
      <c r="A5" s="76" t="s">
        <v>329</v>
      </c>
      <c r="B5" s="76" t="s">
        <v>303</v>
      </c>
      <c r="C5" s="76" t="s">
        <v>64</v>
      </c>
      <c r="D5" s="76" t="s">
        <v>83</v>
      </c>
      <c r="E5" s="76" t="s">
        <v>84</v>
      </c>
      <c r="F5" s="76" t="s">
        <v>330</v>
      </c>
    </row>
    <row r="6" customFormat="false" ht="15" hidden="false" customHeight="true" outlineLevel="0" collapsed="false">
      <c r="A6" s="71" t="s">
        <v>328</v>
      </c>
      <c r="B6" s="71" t="s">
        <v>303</v>
      </c>
      <c r="C6" s="71" t="s">
        <v>64</v>
      </c>
      <c r="D6" s="71" t="s">
        <v>83</v>
      </c>
      <c r="E6" s="71" t="s">
        <v>84</v>
      </c>
      <c r="F6" s="71" t="s">
        <v>82</v>
      </c>
    </row>
    <row r="7" customFormat="false" ht="23.25" hidden="false" customHeight="true" outlineLevel="0" collapsed="false">
      <c r="A7" s="71" t="s">
        <v>328</v>
      </c>
      <c r="B7" s="71" t="s">
        <v>303</v>
      </c>
      <c r="C7" s="71" t="s">
        <v>64</v>
      </c>
      <c r="D7" s="71" t="s">
        <v>89</v>
      </c>
      <c r="E7" s="71" t="s">
        <v>90</v>
      </c>
      <c r="F7" s="71" t="s">
        <v>82</v>
      </c>
    </row>
    <row r="8" customFormat="false" ht="15" hidden="false" customHeight="true" outlineLevel="0" collapsed="false">
      <c r="A8" s="71" t="s">
        <v>328</v>
      </c>
      <c r="B8" s="71" t="s">
        <v>303</v>
      </c>
      <c r="C8" s="71" t="s">
        <v>64</v>
      </c>
      <c r="D8" s="71" t="s">
        <v>93</v>
      </c>
      <c r="E8" s="71" t="s">
        <v>94</v>
      </c>
      <c r="F8" s="71" t="s">
        <v>82</v>
      </c>
    </row>
    <row r="9" customFormat="false" ht="15" hidden="false" customHeight="true" outlineLevel="0" collapsed="false">
      <c r="A9" s="71" t="s">
        <v>328</v>
      </c>
      <c r="B9" s="71" t="s">
        <v>303</v>
      </c>
      <c r="C9" s="71" t="s">
        <v>64</v>
      </c>
      <c r="D9" s="71" t="s">
        <v>95</v>
      </c>
      <c r="E9" s="71" t="s">
        <v>96</v>
      </c>
      <c r="F9" s="71" t="s">
        <v>82</v>
      </c>
    </row>
    <row r="10" customFormat="false" ht="15" hidden="false" customHeight="true" outlineLevel="0" collapsed="false">
      <c r="A10" s="71" t="s">
        <v>328</v>
      </c>
      <c r="B10" s="71" t="s">
        <v>303</v>
      </c>
      <c r="C10" s="71" t="s">
        <v>64</v>
      </c>
      <c r="D10" s="71" t="s">
        <v>98</v>
      </c>
      <c r="E10" s="71" t="s">
        <v>99</v>
      </c>
      <c r="F10" s="71" t="s">
        <v>82</v>
      </c>
    </row>
    <row r="11" customFormat="false" ht="15" hidden="false" customHeight="true" outlineLevel="0" collapsed="false">
      <c r="A11" s="76" t="s">
        <v>329</v>
      </c>
      <c r="B11" s="76" t="s">
        <v>303</v>
      </c>
      <c r="C11" s="76" t="s">
        <v>64</v>
      </c>
      <c r="D11" s="76" t="s">
        <v>100</v>
      </c>
      <c r="E11" s="76" t="s">
        <v>101</v>
      </c>
      <c r="F11" s="76" t="s">
        <v>199</v>
      </c>
    </row>
    <row r="12" customFormat="false" ht="15" hidden="false" customHeight="true" outlineLevel="0" collapsed="false">
      <c r="A12" s="71" t="s">
        <v>328</v>
      </c>
      <c r="B12" s="71" t="s">
        <v>303</v>
      </c>
      <c r="C12" s="71" t="s">
        <v>64</v>
      </c>
      <c r="D12" s="71" t="s">
        <v>100</v>
      </c>
      <c r="E12" s="71" t="s">
        <v>101</v>
      </c>
      <c r="F12" s="71" t="s">
        <v>82</v>
      </c>
    </row>
    <row r="13" customFormat="false" ht="15" hidden="false" customHeight="true" outlineLevel="0" collapsed="false">
      <c r="A13" s="71" t="s">
        <v>328</v>
      </c>
      <c r="B13" s="71" t="s">
        <v>306</v>
      </c>
      <c r="C13" s="71" t="s">
        <v>103</v>
      </c>
      <c r="D13" s="71" t="s">
        <v>109</v>
      </c>
      <c r="E13" s="71" t="s">
        <v>110</v>
      </c>
      <c r="F13" s="71" t="s">
        <v>331</v>
      </c>
    </row>
    <row r="14" customFormat="false" ht="15" hidden="false" customHeight="true" outlineLevel="0" collapsed="false">
      <c r="A14" s="71" t="s">
        <v>328</v>
      </c>
      <c r="B14" s="71" t="s">
        <v>306</v>
      </c>
      <c r="C14" s="71" t="s">
        <v>103</v>
      </c>
      <c r="D14" s="71" t="s">
        <v>109</v>
      </c>
      <c r="E14" s="71" t="s">
        <v>110</v>
      </c>
      <c r="F14" s="71" t="s">
        <v>156</v>
      </c>
    </row>
    <row r="15" customFormat="false" ht="15" hidden="false" customHeight="true" outlineLevel="0" collapsed="false">
      <c r="A15" s="71" t="s">
        <v>328</v>
      </c>
      <c r="B15" s="71" t="s">
        <v>312</v>
      </c>
      <c r="C15" s="71" t="s">
        <v>103</v>
      </c>
      <c r="D15" s="71" t="s">
        <v>120</v>
      </c>
      <c r="E15" s="71" t="s">
        <v>121</v>
      </c>
      <c r="F15" s="71" t="s">
        <v>126</v>
      </c>
    </row>
    <row r="16" customFormat="false" ht="15" hidden="false" customHeight="true" outlineLevel="0" collapsed="false">
      <c r="A16" s="76" t="s">
        <v>329</v>
      </c>
      <c r="B16" s="76" t="s">
        <v>320</v>
      </c>
      <c r="C16" s="76" t="s">
        <v>127</v>
      </c>
      <c r="D16" s="76" t="s">
        <v>132</v>
      </c>
      <c r="E16" s="76" t="s">
        <v>133</v>
      </c>
      <c r="F16" s="76" t="s">
        <v>332</v>
      </c>
    </row>
    <row r="17" customFormat="false" ht="15" hidden="false" customHeight="true" outlineLevel="0" collapsed="false">
      <c r="A17" s="76" t="s">
        <v>329</v>
      </c>
      <c r="B17" s="76" t="s">
        <v>320</v>
      </c>
      <c r="C17" s="76" t="s">
        <v>127</v>
      </c>
      <c r="D17" s="76" t="s">
        <v>132</v>
      </c>
      <c r="E17" s="76" t="s">
        <v>133</v>
      </c>
      <c r="F17" s="76" t="s">
        <v>199</v>
      </c>
    </row>
    <row r="18" customFormat="false" ht="15" hidden="false" customHeight="true" outlineLevel="0" collapsed="false">
      <c r="A18" s="76" t="s">
        <v>329</v>
      </c>
      <c r="B18" s="76" t="s">
        <v>309</v>
      </c>
      <c r="C18" s="76" t="s">
        <v>145</v>
      </c>
      <c r="D18" s="76" t="s">
        <v>167</v>
      </c>
      <c r="E18" s="76" t="s">
        <v>168</v>
      </c>
      <c r="F18" s="76" t="s">
        <v>199</v>
      </c>
    </row>
    <row r="19" customFormat="false" ht="15" hidden="false" customHeight="true" outlineLevel="0" collapsed="false">
      <c r="A19" s="71" t="s">
        <v>328</v>
      </c>
      <c r="B19" s="71" t="s">
        <v>309</v>
      </c>
      <c r="C19" s="71" t="s">
        <v>145</v>
      </c>
      <c r="D19" s="71" t="s">
        <v>167</v>
      </c>
      <c r="E19" s="71" t="s">
        <v>168</v>
      </c>
      <c r="F19" s="71" t="s">
        <v>156</v>
      </c>
    </row>
    <row r="20" customFormat="false" ht="15" hidden="false" customHeight="true" outlineLevel="0" collapsed="false">
      <c r="A20" s="76" t="s">
        <v>329</v>
      </c>
      <c r="B20" s="76" t="s">
        <v>309</v>
      </c>
      <c r="C20" s="76" t="s">
        <v>145</v>
      </c>
      <c r="D20" s="76" t="s">
        <v>167</v>
      </c>
      <c r="E20" s="76" t="s">
        <v>333</v>
      </c>
      <c r="F20" s="76" t="s">
        <v>199</v>
      </c>
    </row>
    <row r="21" customFormat="false" ht="15" hidden="false" customHeight="true" outlineLevel="0" collapsed="false">
      <c r="A21" s="71" t="s">
        <v>328</v>
      </c>
      <c r="B21" s="71" t="s">
        <v>309</v>
      </c>
      <c r="C21" s="71" t="s">
        <v>145</v>
      </c>
      <c r="D21" s="71" t="s">
        <v>167</v>
      </c>
      <c r="E21" s="71" t="s">
        <v>333</v>
      </c>
      <c r="F21" s="71" t="s">
        <v>156</v>
      </c>
    </row>
    <row r="22" customFormat="false" ht="23.25" hidden="false" customHeight="true" outlineLevel="0" collapsed="false">
      <c r="A22" s="76" t="s">
        <v>329</v>
      </c>
      <c r="B22" s="76" t="s">
        <v>309</v>
      </c>
      <c r="C22" s="76" t="s">
        <v>145</v>
      </c>
      <c r="D22" s="76" t="s">
        <v>167</v>
      </c>
      <c r="E22" s="76" t="s">
        <v>175</v>
      </c>
      <c r="F22" s="76" t="s">
        <v>332</v>
      </c>
    </row>
    <row r="23" customFormat="false" ht="23.25" hidden="false" customHeight="true" outlineLevel="0" collapsed="false">
      <c r="A23" s="76" t="s">
        <v>329</v>
      </c>
      <c r="B23" s="76" t="s">
        <v>309</v>
      </c>
      <c r="C23" s="76" t="s">
        <v>145</v>
      </c>
      <c r="D23" s="76" t="s">
        <v>167</v>
      </c>
      <c r="E23" s="76" t="s">
        <v>175</v>
      </c>
      <c r="F23" s="76" t="s">
        <v>199</v>
      </c>
    </row>
    <row r="24" customFormat="false" ht="23.25" hidden="false" customHeight="true" outlineLevel="0" collapsed="false">
      <c r="A24" s="71" t="s">
        <v>328</v>
      </c>
      <c r="B24" s="71" t="s">
        <v>309</v>
      </c>
      <c r="C24" s="71" t="s">
        <v>145</v>
      </c>
      <c r="D24" s="71" t="s">
        <v>167</v>
      </c>
      <c r="E24" s="71" t="s">
        <v>175</v>
      </c>
      <c r="F24" s="71" t="s">
        <v>156</v>
      </c>
    </row>
    <row r="25" customFormat="false" ht="15" hidden="false" customHeight="true" outlineLevel="0" collapsed="false">
      <c r="A25" s="71" t="s">
        <v>328</v>
      </c>
      <c r="B25" s="71" t="s">
        <v>309</v>
      </c>
      <c r="C25" s="71" t="s">
        <v>145</v>
      </c>
      <c r="D25" s="71" t="s">
        <v>151</v>
      </c>
      <c r="E25" s="71" t="s">
        <v>152</v>
      </c>
      <c r="F25" s="71" t="s">
        <v>156</v>
      </c>
    </row>
    <row r="26" customFormat="false" ht="15" hidden="false" customHeight="true" outlineLevel="0" collapsed="false">
      <c r="A26" s="71" t="s">
        <v>328</v>
      </c>
      <c r="B26" s="71" t="s">
        <v>309</v>
      </c>
      <c r="C26" s="71" t="s">
        <v>145</v>
      </c>
      <c r="D26" s="71" t="s">
        <v>178</v>
      </c>
      <c r="E26" s="71" t="s">
        <v>334</v>
      </c>
      <c r="F26" s="71" t="s">
        <v>156</v>
      </c>
    </row>
    <row r="27" customFormat="false" ht="15" hidden="false" customHeight="true" outlineLevel="0" collapsed="false">
      <c r="A27" s="71" t="s">
        <v>328</v>
      </c>
      <c r="B27" s="71" t="s">
        <v>309</v>
      </c>
      <c r="C27" s="71" t="s">
        <v>145</v>
      </c>
      <c r="D27" s="71" t="s">
        <v>178</v>
      </c>
      <c r="E27" s="71" t="s">
        <v>179</v>
      </c>
      <c r="F27" s="71" t="s">
        <v>156</v>
      </c>
    </row>
    <row r="28" customFormat="false" ht="15" hidden="false" customHeight="true" outlineLevel="0" collapsed="false">
      <c r="A28" s="76" t="s">
        <v>329</v>
      </c>
      <c r="B28" s="76" t="s">
        <v>298</v>
      </c>
      <c r="C28" s="76" t="s">
        <v>185</v>
      </c>
      <c r="D28" s="76" t="s">
        <v>191</v>
      </c>
      <c r="E28" s="76" t="s">
        <v>192</v>
      </c>
      <c r="F28" s="76" t="s">
        <v>199</v>
      </c>
    </row>
    <row r="29" customFormat="false" ht="15" hidden="false" customHeight="true" outlineLevel="0" collapsed="false">
      <c r="A29" s="76" t="s">
        <v>329</v>
      </c>
      <c r="B29" s="76" t="s">
        <v>301</v>
      </c>
      <c r="C29" s="76" t="s">
        <v>185</v>
      </c>
      <c r="D29" s="76" t="s">
        <v>205</v>
      </c>
      <c r="E29" s="76" t="s">
        <v>206</v>
      </c>
      <c r="F29" s="76" t="s">
        <v>199</v>
      </c>
    </row>
    <row r="30" customFormat="false" ht="15" hidden="false" customHeight="true" outlineLevel="0" collapsed="false">
      <c r="A30" s="71" t="s">
        <v>328</v>
      </c>
      <c r="B30" s="71" t="s">
        <v>301</v>
      </c>
      <c r="C30" s="71" t="s">
        <v>185</v>
      </c>
      <c r="D30" s="71" t="s">
        <v>205</v>
      </c>
      <c r="E30" s="71" t="s">
        <v>206</v>
      </c>
      <c r="F30" s="71" t="s">
        <v>156</v>
      </c>
    </row>
    <row r="31" customFormat="false" ht="15" hidden="false" customHeight="true" outlineLevel="0" collapsed="false">
      <c r="A31" s="76" t="s">
        <v>329</v>
      </c>
      <c r="B31" s="76" t="s">
        <v>220</v>
      </c>
      <c r="C31" s="76" t="s">
        <v>211</v>
      </c>
      <c r="D31" s="76" t="s">
        <v>215</v>
      </c>
      <c r="E31" s="76" t="s">
        <v>216</v>
      </c>
      <c r="F31" s="76" t="s">
        <v>335</v>
      </c>
    </row>
    <row r="32" customFormat="false" ht="15" hidden="false" customHeight="true" outlineLevel="0" collapsed="false">
      <c r="A32" s="76" t="s">
        <v>329</v>
      </c>
      <c r="B32" s="76" t="s">
        <v>220</v>
      </c>
      <c r="C32" s="76" t="s">
        <v>211</v>
      </c>
      <c r="D32" s="76" t="s">
        <v>215</v>
      </c>
      <c r="E32" s="76" t="s">
        <v>216</v>
      </c>
      <c r="F32" s="76" t="s">
        <v>336</v>
      </c>
    </row>
    <row r="33" customFormat="false" ht="15" hidden="false" customHeight="true" outlineLevel="0" collapsed="false">
      <c r="A33" s="76" t="s">
        <v>329</v>
      </c>
      <c r="B33" s="76" t="s">
        <v>220</v>
      </c>
      <c r="C33" s="76" t="s">
        <v>337</v>
      </c>
      <c r="D33" s="76" t="s">
        <v>338</v>
      </c>
      <c r="E33" s="76" t="s">
        <v>339</v>
      </c>
      <c r="F33" s="76" t="s">
        <v>340</v>
      </c>
    </row>
    <row r="34" customFormat="false" ht="15" hidden="false" customHeight="true" outlineLevel="0" collapsed="false">
      <c r="A34" s="76" t="s">
        <v>329</v>
      </c>
      <c r="B34" s="76" t="s">
        <v>220</v>
      </c>
      <c r="C34" s="76" t="s">
        <v>211</v>
      </c>
      <c r="D34" s="76" t="s">
        <v>215</v>
      </c>
      <c r="E34" s="76" t="s">
        <v>216</v>
      </c>
      <c r="F34" s="76" t="s">
        <v>341</v>
      </c>
    </row>
    <row r="35" customFormat="false" ht="34.5" hidden="false" customHeight="true" outlineLevel="0" collapsed="false">
      <c r="A35" s="71" t="s">
        <v>328</v>
      </c>
      <c r="B35" s="71" t="s">
        <v>309</v>
      </c>
      <c r="C35" s="71" t="s">
        <v>145</v>
      </c>
      <c r="D35" s="71" t="s">
        <v>342</v>
      </c>
      <c r="E35" s="71" t="s">
        <v>220</v>
      </c>
      <c r="F35" s="71" t="s">
        <v>343</v>
      </c>
    </row>
    <row r="36" customFormat="false" ht="15" hidden="false" customHeight="true" outlineLevel="0" collapsed="false">
      <c r="A36" s="71" t="s">
        <v>328</v>
      </c>
      <c r="B36" s="71" t="s">
        <v>309</v>
      </c>
      <c r="C36" s="71" t="s">
        <v>145</v>
      </c>
      <c r="D36" s="71" t="s">
        <v>344</v>
      </c>
      <c r="E36" s="71" t="s">
        <v>220</v>
      </c>
      <c r="F36" s="71" t="s">
        <v>345</v>
      </c>
    </row>
    <row r="37" customFormat="false" ht="15" hidden="false" customHeight="true" outlineLevel="0" collapsed="false">
      <c r="A37" s="77" t="s">
        <v>346</v>
      </c>
      <c r="B37" s="77" t="s">
        <v>303</v>
      </c>
      <c r="C37" s="77" t="s">
        <v>64</v>
      </c>
      <c r="D37" s="77" t="s">
        <v>83</v>
      </c>
      <c r="E37" s="77" t="s">
        <v>84</v>
      </c>
      <c r="F37" s="77" t="s">
        <v>347</v>
      </c>
    </row>
    <row r="38" customFormat="false" ht="15" hidden="false" customHeight="true" outlineLevel="0" collapsed="false">
      <c r="A38" s="77" t="s">
        <v>346</v>
      </c>
      <c r="B38" s="77" t="s">
        <v>320</v>
      </c>
      <c r="C38" s="77" t="s">
        <v>127</v>
      </c>
      <c r="D38" s="77" t="s">
        <v>132</v>
      </c>
      <c r="E38" s="77" t="s">
        <v>133</v>
      </c>
      <c r="F38" s="77" t="s">
        <v>348</v>
      </c>
    </row>
    <row r="39" customFormat="false" ht="15" hidden="false" customHeight="true" outlineLevel="0" collapsed="false">
      <c r="A39" s="77" t="s">
        <v>346</v>
      </c>
      <c r="B39" s="77" t="s">
        <v>309</v>
      </c>
      <c r="C39" s="77" t="s">
        <v>145</v>
      </c>
      <c r="D39" s="77" t="s">
        <v>167</v>
      </c>
      <c r="E39" s="77" t="s">
        <v>344</v>
      </c>
      <c r="F39" s="77" t="s">
        <v>349</v>
      </c>
    </row>
    <row r="40" customFormat="false" ht="15" hidden="false" customHeight="true" outlineLevel="0" collapsed="false">
      <c r="A40" s="77" t="s">
        <v>346</v>
      </c>
      <c r="B40" s="77" t="s">
        <v>309</v>
      </c>
      <c r="C40" s="77" t="s">
        <v>145</v>
      </c>
      <c r="D40" s="77" t="s">
        <v>167</v>
      </c>
      <c r="E40" s="77" t="s">
        <v>350</v>
      </c>
      <c r="F40" s="77" t="s">
        <v>351</v>
      </c>
    </row>
    <row r="41" customFormat="false" ht="15" hidden="false" customHeight="true" outlineLevel="0" collapsed="false">
      <c r="A41" s="77" t="s">
        <v>346</v>
      </c>
      <c r="B41" s="77" t="s">
        <v>309</v>
      </c>
      <c r="C41" s="77" t="s">
        <v>145</v>
      </c>
      <c r="D41" s="77" t="s">
        <v>352</v>
      </c>
      <c r="E41" s="77" t="s">
        <v>353</v>
      </c>
      <c r="F41" s="77" t="s">
        <v>354</v>
      </c>
    </row>
    <row r="42" customFormat="false" ht="15" hidden="false" customHeight="true" outlineLevel="0" collapsed="false">
      <c r="A42" s="1" t="s">
        <v>355</v>
      </c>
      <c r="B42" s="1" t="s">
        <v>309</v>
      </c>
      <c r="C42" s="1" t="s">
        <v>145</v>
      </c>
      <c r="D42" s="1" t="s">
        <v>352</v>
      </c>
      <c r="E42" s="1" t="s">
        <v>356</v>
      </c>
      <c r="F42" s="1" t="s">
        <v>357</v>
      </c>
    </row>
    <row r="43" customFormat="false" ht="15" hidden="false" customHeight="true" outlineLevel="0" collapsed="false">
      <c r="A43" s="78" t="s">
        <v>329</v>
      </c>
      <c r="B43" s="78" t="s">
        <v>220</v>
      </c>
      <c r="C43" s="78" t="s">
        <v>211</v>
      </c>
      <c r="D43" s="78" t="s">
        <v>215</v>
      </c>
      <c r="E43" s="78" t="s">
        <v>216</v>
      </c>
      <c r="F43" s="78" t="s">
        <v>358</v>
      </c>
    </row>
    <row r="44" customFormat="false" ht="15" hidden="false" customHeight="true" outlineLevel="0" collapsed="false">
      <c r="A44" s="1" t="s">
        <v>328</v>
      </c>
      <c r="B44" s="1" t="s">
        <v>303</v>
      </c>
      <c r="C44" s="1" t="s">
        <v>64</v>
      </c>
      <c r="D44" s="1" t="s">
        <v>359</v>
      </c>
      <c r="E44" s="1" t="s">
        <v>220</v>
      </c>
      <c r="F44" s="1" t="s">
        <v>360</v>
      </c>
    </row>
    <row r="45" customFormat="false" ht="15" hidden="false" customHeight="true" outlineLevel="0" collapsed="false">
      <c r="A45" s="1" t="s">
        <v>328</v>
      </c>
      <c r="B45" s="1" t="s">
        <v>303</v>
      </c>
      <c r="C45" s="1" t="s">
        <v>64</v>
      </c>
      <c r="D45" s="1" t="s">
        <v>83</v>
      </c>
      <c r="E45" s="1" t="s">
        <v>84</v>
      </c>
      <c r="F45" s="1" t="s">
        <v>361</v>
      </c>
    </row>
    <row r="46" customFormat="false" ht="15" hidden="false" customHeight="true" outlineLevel="0" collapsed="false">
      <c r="A46" s="1" t="s">
        <v>328</v>
      </c>
      <c r="B46" s="1" t="s">
        <v>306</v>
      </c>
      <c r="C46" s="1" t="s">
        <v>103</v>
      </c>
      <c r="D46" s="1" t="s">
        <v>109</v>
      </c>
      <c r="E46" s="1" t="s">
        <v>110</v>
      </c>
      <c r="F46" s="1" t="s">
        <v>362</v>
      </c>
    </row>
    <row r="47" customFormat="false" ht="15" hidden="false" customHeight="true" outlineLevel="0" collapsed="false">
      <c r="A47" s="1" t="s">
        <v>328</v>
      </c>
      <c r="B47" s="1" t="s">
        <v>306</v>
      </c>
      <c r="C47" s="1" t="s">
        <v>103</v>
      </c>
      <c r="D47" s="1" t="s">
        <v>109</v>
      </c>
      <c r="E47" s="1" t="s">
        <v>110</v>
      </c>
      <c r="F47" s="1" t="s">
        <v>363</v>
      </c>
    </row>
    <row r="48" customFormat="false" ht="15" hidden="false" customHeight="true" outlineLevel="0" collapsed="false">
      <c r="A48" s="1" t="s">
        <v>328</v>
      </c>
      <c r="B48" s="1" t="s">
        <v>309</v>
      </c>
      <c r="C48" s="1" t="s">
        <v>145</v>
      </c>
      <c r="D48" s="1" t="s">
        <v>151</v>
      </c>
      <c r="E48" s="1" t="s">
        <v>152</v>
      </c>
      <c r="F48" s="1" t="s">
        <v>364</v>
      </c>
    </row>
    <row r="49" customFormat="false" ht="15" hidden="false" customHeight="true" outlineLevel="0" collapsed="false">
      <c r="A49" s="1" t="s">
        <v>328</v>
      </c>
      <c r="B49" s="1" t="s">
        <v>317</v>
      </c>
      <c r="C49" s="1" t="s">
        <v>145</v>
      </c>
      <c r="D49" s="1" t="s">
        <v>161</v>
      </c>
      <c r="E49" s="1" t="s">
        <v>162</v>
      </c>
      <c r="F49" s="1" t="s">
        <v>365</v>
      </c>
    </row>
    <row r="50" customFormat="false" ht="15" hidden="false" customHeight="true" outlineLevel="0" collapsed="false">
      <c r="A50" s="1" t="s">
        <v>328</v>
      </c>
      <c r="B50" s="1" t="s">
        <v>301</v>
      </c>
      <c r="C50" s="1" t="s">
        <v>185</v>
      </c>
      <c r="D50" s="1" t="s">
        <v>205</v>
      </c>
      <c r="E50" s="1" t="s">
        <v>206</v>
      </c>
      <c r="F50" s="1" t="s">
        <v>366</v>
      </c>
    </row>
    <row r="51" customFormat="false" ht="15" hidden="false" customHeight="true" outlineLevel="0" collapsed="false">
      <c r="A51" s="78" t="s">
        <v>367</v>
      </c>
      <c r="B51" s="78" t="s">
        <v>309</v>
      </c>
      <c r="C51" s="78" t="s">
        <v>145</v>
      </c>
      <c r="D51" s="78" t="s">
        <v>368</v>
      </c>
      <c r="E51" s="78" t="s">
        <v>369</v>
      </c>
      <c r="F51" s="78" t="s">
        <v>370</v>
      </c>
    </row>
    <row r="52" customFormat="false" ht="15" hidden="false" customHeight="true" outlineLevel="0" collapsed="false">
      <c r="A52" s="78" t="s">
        <v>367</v>
      </c>
      <c r="B52" s="78" t="s">
        <v>220</v>
      </c>
      <c r="C52" s="78" t="s">
        <v>371</v>
      </c>
      <c r="D52" s="78" t="s">
        <v>220</v>
      </c>
      <c r="E52" s="78" t="s">
        <v>220</v>
      </c>
      <c r="F52" s="78" t="s">
        <v>372</v>
      </c>
    </row>
    <row r="53" customFormat="false" ht="15" hidden="false" customHeight="true" outlineLevel="0" collapsed="false">
      <c r="A53" s="78" t="s">
        <v>367</v>
      </c>
      <c r="B53" s="78" t="s">
        <v>220</v>
      </c>
      <c r="C53" s="78" t="s">
        <v>371</v>
      </c>
      <c r="D53" s="78" t="s">
        <v>220</v>
      </c>
      <c r="E53" s="78" t="s">
        <v>220</v>
      </c>
      <c r="F53" s="78" t="s">
        <v>373</v>
      </c>
    </row>
    <row r="54" customFormat="false" ht="15" hidden="false" customHeight="true" outlineLevel="0" collapsed="false">
      <c r="A54" s="77" t="s">
        <v>328</v>
      </c>
      <c r="B54" s="77" t="s">
        <v>220</v>
      </c>
      <c r="C54" s="77" t="s">
        <v>211</v>
      </c>
      <c r="D54" s="77" t="s">
        <v>215</v>
      </c>
      <c r="E54" s="77" t="s">
        <v>216</v>
      </c>
      <c r="F54" s="77" t="s">
        <v>374</v>
      </c>
    </row>
    <row r="55" customFormat="false" ht="15" hidden="false" customHeight="true" outlineLevel="0" collapsed="false">
      <c r="A55" s="77" t="s">
        <v>328</v>
      </c>
      <c r="B55" s="77" t="s">
        <v>309</v>
      </c>
      <c r="C55" s="77" t="s">
        <v>145</v>
      </c>
      <c r="D55" s="77" t="s">
        <v>368</v>
      </c>
      <c r="E55" s="77" t="s">
        <v>369</v>
      </c>
      <c r="F55" s="77" t="s">
        <v>375</v>
      </c>
    </row>
    <row r="56" customFormat="false" ht="15" hidden="false" customHeight="true" outlineLevel="0" collapsed="false">
      <c r="A56" s="1" t="s">
        <v>376</v>
      </c>
      <c r="B56" s="1" t="s">
        <v>220</v>
      </c>
      <c r="C56" s="1" t="s">
        <v>64</v>
      </c>
      <c r="D56" s="1" t="s">
        <v>220</v>
      </c>
      <c r="E56" s="1" t="s">
        <v>220</v>
      </c>
      <c r="F56" s="1" t="s">
        <v>377</v>
      </c>
    </row>
    <row r="57" customFormat="false" ht="15" hidden="false" customHeight="true" outlineLevel="0" collapsed="false">
      <c r="A57" s="77" t="s">
        <v>346</v>
      </c>
      <c r="B57" s="77" t="s">
        <v>306</v>
      </c>
      <c r="C57" s="77" t="s">
        <v>103</v>
      </c>
      <c r="D57" s="77" t="s">
        <v>109</v>
      </c>
      <c r="E57" s="77" t="s">
        <v>110</v>
      </c>
      <c r="F57" s="77" t="s">
        <v>378</v>
      </c>
    </row>
  </sheetData>
  <autoFilter ref="A3:F36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6"/>
    <col collapsed="false" customWidth="true" hidden="false" outlineLevel="0" max="3" min="3" style="1" width="90"/>
  </cols>
  <sheetData>
    <row r="1" customFormat="false" ht="25.5" hidden="false" customHeight="true" outlineLevel="0" collapsed="false">
      <c r="A1" s="2" t="s">
        <v>379</v>
      </c>
      <c r="B1" s="2"/>
      <c r="C1" s="2"/>
    </row>
    <row r="3" customFormat="false" ht="30" hidden="false" customHeight="true" outlineLevel="0" collapsed="false">
      <c r="A3" s="70" t="s">
        <v>380</v>
      </c>
      <c r="B3" s="70" t="s">
        <v>381</v>
      </c>
      <c r="C3" s="70" t="s">
        <v>382</v>
      </c>
    </row>
    <row r="4" customFormat="false" ht="31.5" hidden="false" customHeight="true" outlineLevel="0" collapsed="false">
      <c r="A4" s="79" t="s">
        <v>383</v>
      </c>
      <c r="B4" s="71" t="s">
        <v>384</v>
      </c>
      <c r="C4" s="71" t="s">
        <v>385</v>
      </c>
    </row>
    <row r="5" customFormat="false" ht="31.5" hidden="false" customHeight="true" outlineLevel="0" collapsed="false">
      <c r="A5" s="79" t="s">
        <v>383</v>
      </c>
      <c r="B5" s="71" t="s">
        <v>386</v>
      </c>
      <c r="C5" s="71" t="s">
        <v>387</v>
      </c>
    </row>
    <row r="6" customFormat="false" ht="31.5" hidden="false" customHeight="true" outlineLevel="0" collapsed="false">
      <c r="A6" s="79" t="s">
        <v>383</v>
      </c>
      <c r="B6" s="71" t="s">
        <v>388</v>
      </c>
      <c r="C6" s="71" t="s">
        <v>389</v>
      </c>
    </row>
    <row r="7" customFormat="false" ht="31.5" hidden="false" customHeight="true" outlineLevel="0" collapsed="false">
      <c r="A7" s="79" t="s">
        <v>383</v>
      </c>
      <c r="B7" s="71" t="s">
        <v>390</v>
      </c>
      <c r="C7" s="71" t="s">
        <v>391</v>
      </c>
    </row>
    <row r="8" customFormat="false" ht="31.5" hidden="false" customHeight="true" outlineLevel="0" collapsed="false">
      <c r="A8" s="79" t="s">
        <v>1</v>
      </c>
      <c r="B8" s="71" t="s">
        <v>288</v>
      </c>
      <c r="C8" s="71" t="s">
        <v>392</v>
      </c>
    </row>
    <row r="9" customFormat="false" ht="31.5" hidden="false" customHeight="true" outlineLevel="0" collapsed="false">
      <c r="A9" s="79" t="s">
        <v>1</v>
      </c>
      <c r="B9" s="71" t="s">
        <v>3</v>
      </c>
      <c r="C9" s="71" t="s">
        <v>393</v>
      </c>
    </row>
    <row r="10" customFormat="false" ht="31.5" hidden="false" customHeight="true" outlineLevel="0" collapsed="false">
      <c r="A10" s="79" t="s">
        <v>1</v>
      </c>
      <c r="B10" s="71" t="s">
        <v>4</v>
      </c>
      <c r="C10" s="71" t="s">
        <v>394</v>
      </c>
    </row>
    <row r="11" customFormat="false" ht="31.5" hidden="false" customHeight="true" outlineLevel="0" collapsed="false">
      <c r="A11" s="79" t="s">
        <v>1</v>
      </c>
      <c r="B11" s="71" t="s">
        <v>8</v>
      </c>
      <c r="C11" s="71" t="s">
        <v>395</v>
      </c>
    </row>
    <row r="12" customFormat="false" ht="31.5" hidden="false" customHeight="true" outlineLevel="0" collapsed="false">
      <c r="A12" s="79" t="s">
        <v>1</v>
      </c>
      <c r="B12" s="71" t="s">
        <v>9</v>
      </c>
      <c r="C12" s="71" t="s">
        <v>396</v>
      </c>
    </row>
    <row r="13" customFormat="false" ht="31.5" hidden="false" customHeight="true" outlineLevel="0" collapsed="false">
      <c r="A13" s="79" t="s">
        <v>397</v>
      </c>
      <c r="B13" s="71" t="s">
        <v>10</v>
      </c>
      <c r="C13" s="71" t="s">
        <v>398</v>
      </c>
    </row>
    <row r="14" customFormat="false" ht="31.5" hidden="false" customHeight="true" outlineLevel="0" collapsed="false">
      <c r="A14" s="79" t="s">
        <v>397</v>
      </c>
      <c r="B14" s="71" t="s">
        <v>11</v>
      </c>
      <c r="C14" s="71" t="s">
        <v>399</v>
      </c>
    </row>
    <row r="15" customFormat="false" ht="31.5" hidden="false" customHeight="true" outlineLevel="0" collapsed="false">
      <c r="A15" s="79" t="s">
        <v>397</v>
      </c>
      <c r="B15" s="71" t="s">
        <v>12</v>
      </c>
      <c r="C15" s="71" t="s">
        <v>400</v>
      </c>
    </row>
    <row r="16" customFormat="false" ht="31.5" hidden="false" customHeight="true" outlineLevel="0" collapsed="false">
      <c r="A16" s="79" t="s">
        <v>397</v>
      </c>
      <c r="B16" s="71" t="s">
        <v>13</v>
      </c>
      <c r="C16" s="71" t="s">
        <v>401</v>
      </c>
    </row>
    <row r="17" customFormat="false" ht="31.5" hidden="false" customHeight="true" outlineLevel="0" collapsed="false">
      <c r="A17" s="79" t="s">
        <v>402</v>
      </c>
      <c r="B17" s="71" t="s">
        <v>14</v>
      </c>
      <c r="C17" s="71" t="s">
        <v>403</v>
      </c>
    </row>
    <row r="18" customFormat="false" ht="31.5" hidden="false" customHeight="true" outlineLevel="0" collapsed="false">
      <c r="A18" s="79" t="s">
        <v>402</v>
      </c>
      <c r="B18" s="71" t="s">
        <v>404</v>
      </c>
      <c r="C18" s="71" t="s">
        <v>405</v>
      </c>
    </row>
    <row r="19" customFormat="false" ht="31.5" hidden="false" customHeight="true" outlineLevel="0" collapsed="false">
      <c r="A19" s="79" t="s">
        <v>402</v>
      </c>
      <c r="B19" s="71" t="s">
        <v>406</v>
      </c>
      <c r="C19" s="71" t="s">
        <v>407</v>
      </c>
    </row>
    <row r="20" customFormat="false" ht="31.5" hidden="false" customHeight="true" outlineLevel="0" collapsed="false">
      <c r="A20" s="79" t="s">
        <v>408</v>
      </c>
      <c r="B20" s="71" t="s">
        <v>409</v>
      </c>
      <c r="C20" s="71" t="s">
        <v>410</v>
      </c>
    </row>
    <row r="21" customFormat="false" ht="31.5" hidden="false" customHeight="true" outlineLevel="0" collapsed="false">
      <c r="A21" s="79" t="s">
        <v>408</v>
      </c>
      <c r="B21" s="71" t="s">
        <v>22</v>
      </c>
      <c r="C21" s="71" t="s">
        <v>411</v>
      </c>
    </row>
    <row r="22" customFormat="false" ht="31.5" hidden="false" customHeight="true" outlineLevel="0" collapsed="false">
      <c r="A22" s="79" t="s">
        <v>408</v>
      </c>
      <c r="B22" s="71" t="s">
        <v>412</v>
      </c>
      <c r="C22" s="71" t="s">
        <v>413</v>
      </c>
    </row>
    <row r="23" customFormat="false" ht="31.5" hidden="false" customHeight="true" outlineLevel="0" collapsed="false">
      <c r="A23" s="79" t="s">
        <v>408</v>
      </c>
      <c r="B23" s="71" t="s">
        <v>414</v>
      </c>
      <c r="C23" s="71" t="s">
        <v>415</v>
      </c>
    </row>
    <row r="24" customFormat="false" ht="31.5" hidden="false" customHeight="true" outlineLevel="0" collapsed="false">
      <c r="A24" s="79" t="s">
        <v>416</v>
      </c>
      <c r="B24" s="71" t="s">
        <v>417</v>
      </c>
      <c r="C24" s="71" t="s">
        <v>418</v>
      </c>
    </row>
    <row r="25" customFormat="false" ht="31.5" hidden="false" customHeight="true" outlineLevel="0" collapsed="false">
      <c r="A25" s="79" t="s">
        <v>416</v>
      </c>
      <c r="B25" s="71" t="s">
        <v>419</v>
      </c>
      <c r="C25" s="71" t="s">
        <v>420</v>
      </c>
    </row>
    <row r="26" customFormat="false" ht="31.5" hidden="false" customHeight="true" outlineLevel="0" collapsed="false">
      <c r="A26" s="79" t="s">
        <v>416</v>
      </c>
      <c r="B26" s="71" t="s">
        <v>27</v>
      </c>
      <c r="C26" s="71" t="s">
        <v>421</v>
      </c>
    </row>
    <row r="27" customFormat="false" ht="31.5" hidden="false" customHeight="true" outlineLevel="0" collapsed="false">
      <c r="A27" s="79" t="s">
        <v>416</v>
      </c>
      <c r="B27" s="71" t="s">
        <v>29</v>
      </c>
      <c r="C27" s="71" t="s">
        <v>422</v>
      </c>
    </row>
    <row r="28" customFormat="false" ht="31.5" hidden="false" customHeight="true" outlineLevel="0" collapsed="false">
      <c r="A28" s="79" t="s">
        <v>416</v>
      </c>
      <c r="B28" s="71" t="s">
        <v>423</v>
      </c>
      <c r="C28" s="71" t="s">
        <v>424</v>
      </c>
    </row>
    <row r="29" customFormat="false" ht="31.5" hidden="false" customHeight="true" outlineLevel="0" collapsed="false">
      <c r="A29" s="79" t="s">
        <v>416</v>
      </c>
      <c r="B29" s="71" t="s">
        <v>425</v>
      </c>
      <c r="C29" s="71" t="s">
        <v>426</v>
      </c>
    </row>
    <row r="30" customFormat="false" ht="31.5" hidden="false" customHeight="true" outlineLevel="0" collapsed="false">
      <c r="A30" s="79" t="s">
        <v>427</v>
      </c>
      <c r="B30" s="71" t="s">
        <v>428</v>
      </c>
      <c r="C30" s="71" t="s">
        <v>429</v>
      </c>
    </row>
    <row r="31" customFormat="false" ht="31.5" hidden="false" customHeight="true" outlineLevel="0" collapsed="false">
      <c r="A31" s="79" t="s">
        <v>427</v>
      </c>
      <c r="B31" s="71" t="s">
        <v>430</v>
      </c>
      <c r="C31" s="71" t="s">
        <v>431</v>
      </c>
    </row>
    <row r="32" customFormat="false" ht="31.5" hidden="false" customHeight="true" outlineLevel="0" collapsed="false">
      <c r="A32" s="79" t="s">
        <v>427</v>
      </c>
      <c r="B32" s="71" t="s">
        <v>432</v>
      </c>
      <c r="C32" s="71" t="s">
        <v>433</v>
      </c>
    </row>
    <row r="33" customFormat="false" ht="31.5" hidden="false" customHeight="true" outlineLevel="0" collapsed="false">
      <c r="A33" s="79" t="s">
        <v>427</v>
      </c>
      <c r="B33" s="71" t="s">
        <v>39</v>
      </c>
      <c r="C33" s="71" t="s">
        <v>434</v>
      </c>
    </row>
    <row r="34" customFormat="false" ht="31.5" hidden="false" customHeight="true" outlineLevel="0" collapsed="false">
      <c r="A34" s="79" t="s">
        <v>427</v>
      </c>
      <c r="B34" s="71" t="s">
        <v>42</v>
      </c>
      <c r="C34" s="71" t="s">
        <v>435</v>
      </c>
    </row>
    <row r="35" customFormat="false" ht="31.5" hidden="false" customHeight="true" outlineLevel="0" collapsed="false">
      <c r="A35" s="79" t="s">
        <v>436</v>
      </c>
      <c r="B35" s="71" t="s">
        <v>437</v>
      </c>
      <c r="C35" s="71" t="s">
        <v>438</v>
      </c>
    </row>
    <row r="36" customFormat="false" ht="31.5" hidden="false" customHeight="true" outlineLevel="0" collapsed="false">
      <c r="A36" s="79" t="s">
        <v>436</v>
      </c>
      <c r="B36" s="71" t="s">
        <v>439</v>
      </c>
      <c r="C36" s="71" t="s">
        <v>440</v>
      </c>
    </row>
    <row r="37" customFormat="false" ht="31.5" hidden="false" customHeight="true" outlineLevel="0" collapsed="false">
      <c r="A37" s="79" t="s">
        <v>436</v>
      </c>
      <c r="B37" s="71" t="s">
        <v>441</v>
      </c>
      <c r="C37" s="71" t="s">
        <v>442</v>
      </c>
    </row>
    <row r="38" customFormat="false" ht="31.5" hidden="false" customHeight="true" outlineLevel="0" collapsed="false">
      <c r="A38" s="79" t="s">
        <v>436</v>
      </c>
      <c r="B38" s="71" t="s">
        <v>443</v>
      </c>
      <c r="C38" s="71" t="s">
        <v>444</v>
      </c>
    </row>
    <row r="39" customFormat="false" ht="31.5" hidden="false" customHeight="true" outlineLevel="0" collapsed="false">
      <c r="A39" s="79" t="s">
        <v>436</v>
      </c>
      <c r="B39" s="71" t="s">
        <v>445</v>
      </c>
      <c r="C39" s="71" t="s">
        <v>446</v>
      </c>
    </row>
    <row r="40" customFormat="false" ht="31.5" hidden="false" customHeight="true" outlineLevel="0" collapsed="false">
      <c r="A40" s="79" t="s">
        <v>447</v>
      </c>
      <c r="B40" s="71" t="s">
        <v>448</v>
      </c>
      <c r="C40" s="71" t="s">
        <v>449</v>
      </c>
    </row>
    <row r="41" customFormat="false" ht="31.5" hidden="false" customHeight="true" outlineLevel="0" collapsed="false">
      <c r="A41" s="79" t="s">
        <v>447</v>
      </c>
      <c r="B41" s="71" t="s">
        <v>450</v>
      </c>
      <c r="C41" s="71" t="s">
        <v>451</v>
      </c>
    </row>
    <row r="42" customFormat="false" ht="31.5" hidden="false" customHeight="true" outlineLevel="0" collapsed="false">
      <c r="A42" s="79" t="s">
        <v>447</v>
      </c>
      <c r="B42" s="71" t="s">
        <v>51</v>
      </c>
      <c r="C42" s="71" t="s">
        <v>452</v>
      </c>
    </row>
    <row r="43" customFormat="false" ht="31.5" hidden="false" customHeight="true" outlineLevel="0" collapsed="false">
      <c r="A43" s="79" t="s">
        <v>453</v>
      </c>
      <c r="B43" s="71" t="s">
        <v>454</v>
      </c>
      <c r="C43" s="71" t="s">
        <v>455</v>
      </c>
    </row>
    <row r="44" customFormat="false" ht="31.5" hidden="false" customHeight="true" outlineLevel="0" collapsed="false">
      <c r="A44" s="79" t="s">
        <v>453</v>
      </c>
      <c r="B44" s="71" t="s">
        <v>56</v>
      </c>
      <c r="C44" s="71" t="s">
        <v>456</v>
      </c>
    </row>
    <row r="45" customFormat="false" ht="31.5" hidden="false" customHeight="true" outlineLevel="0" collapsed="false">
      <c r="A45" s="79" t="s">
        <v>457</v>
      </c>
      <c r="B45" s="71" t="s">
        <v>57</v>
      </c>
      <c r="C45" s="71" t="s">
        <v>458</v>
      </c>
    </row>
    <row r="46" customFormat="false" ht="31.5" hidden="false" customHeight="true" outlineLevel="0" collapsed="false">
      <c r="A46" s="79" t="s">
        <v>457</v>
      </c>
      <c r="B46" s="71" t="s">
        <v>459</v>
      </c>
      <c r="C46" s="71" t="s">
        <v>460</v>
      </c>
    </row>
    <row r="47" customFormat="false" ht="31.5" hidden="false" customHeight="true" outlineLevel="0" collapsed="false">
      <c r="A47" s="79" t="s">
        <v>457</v>
      </c>
      <c r="B47" s="71" t="s">
        <v>60</v>
      </c>
      <c r="C47" s="71" t="s">
        <v>461</v>
      </c>
    </row>
    <row r="48" customFormat="false" ht="31.5" hidden="false" customHeight="true" outlineLevel="0" collapsed="false">
      <c r="A48" s="79" t="s">
        <v>457</v>
      </c>
      <c r="B48" s="71" t="s">
        <v>61</v>
      </c>
      <c r="C48" s="71" t="s">
        <v>462</v>
      </c>
    </row>
    <row r="49" customFormat="false" ht="31.5" hidden="false" customHeight="true" outlineLevel="0" collapsed="false">
      <c r="A49" s="79" t="s">
        <v>463</v>
      </c>
      <c r="B49" s="71" t="s">
        <v>63</v>
      </c>
      <c r="C49" s="71" t="s">
        <v>464</v>
      </c>
    </row>
    <row r="50" customFormat="false" ht="31.5" hidden="false" customHeight="true" outlineLevel="0" collapsed="false">
      <c r="A50" s="79" t="s">
        <v>465</v>
      </c>
      <c r="B50" s="71" t="s">
        <v>466</v>
      </c>
      <c r="C50" s="71" t="s">
        <v>467</v>
      </c>
    </row>
    <row r="51" customFormat="false" ht="31.5" hidden="false" customHeight="true" outlineLevel="0" collapsed="false">
      <c r="A51" s="79" t="s">
        <v>465</v>
      </c>
      <c r="B51" s="71" t="s">
        <v>468</v>
      </c>
      <c r="C51" s="71" t="s">
        <v>469</v>
      </c>
    </row>
    <row r="52" customFormat="false" ht="31.5" hidden="false" customHeight="true" outlineLevel="0" collapsed="false">
      <c r="A52" s="79" t="s">
        <v>465</v>
      </c>
      <c r="B52" s="71" t="s">
        <v>470</v>
      </c>
      <c r="C52" s="71" t="s">
        <v>471</v>
      </c>
    </row>
    <row r="53" customFormat="false" ht="31.5" hidden="false" customHeight="true" outlineLevel="0" collapsed="false">
      <c r="A53" s="79" t="s">
        <v>472</v>
      </c>
      <c r="B53" s="71" t="s">
        <v>473</v>
      </c>
      <c r="C53" s="71" t="s">
        <v>474</v>
      </c>
    </row>
    <row r="54" customFormat="false" ht="31.5" hidden="false" customHeight="true" outlineLevel="0" collapsed="false">
      <c r="A54" s="79" t="s">
        <v>472</v>
      </c>
      <c r="B54" s="71" t="s">
        <v>211</v>
      </c>
      <c r="C54" s="71" t="s">
        <v>475</v>
      </c>
    </row>
    <row r="55" customFormat="false" ht="31.5" hidden="false" customHeight="true" outlineLevel="0" collapsed="false">
      <c r="A55" s="79" t="s">
        <v>472</v>
      </c>
      <c r="B55" s="71" t="s">
        <v>476</v>
      </c>
      <c r="C55" s="71" t="s">
        <v>477</v>
      </c>
    </row>
    <row r="56" customFormat="false" ht="31.5" hidden="false" customHeight="true" outlineLevel="0" collapsed="false">
      <c r="A56" s="79" t="s">
        <v>472</v>
      </c>
      <c r="B56" s="71" t="s">
        <v>478</v>
      </c>
      <c r="C56" s="71" t="s">
        <v>479</v>
      </c>
    </row>
    <row r="57" customFormat="false" ht="23.25" hidden="false" customHeight="true" outlineLevel="0" collapsed="false">
      <c r="A57" s="80" t="s">
        <v>480</v>
      </c>
      <c r="B57" s="81" t="s">
        <v>32</v>
      </c>
      <c r="C57" s="81" t="s">
        <v>481</v>
      </c>
    </row>
    <row r="58" customFormat="false" ht="23.25" hidden="false" customHeight="true" outlineLevel="0" collapsed="false">
      <c r="A58" s="80" t="s">
        <v>480</v>
      </c>
      <c r="B58" s="81" t="s">
        <v>482</v>
      </c>
      <c r="C58" s="81" t="s">
        <v>483</v>
      </c>
    </row>
    <row r="59" customFormat="false" ht="23.25" hidden="false" customHeight="true" outlineLevel="0" collapsed="false">
      <c r="A59" s="80" t="s">
        <v>447</v>
      </c>
      <c r="B59" s="81" t="s">
        <v>47</v>
      </c>
      <c r="C59" s="81" t="s">
        <v>484</v>
      </c>
    </row>
    <row r="60" customFormat="false" ht="23.25" hidden="false" customHeight="true" outlineLevel="0" collapsed="false">
      <c r="A60" s="80" t="s">
        <v>447</v>
      </c>
      <c r="B60" s="81" t="s">
        <v>48</v>
      </c>
      <c r="C60" s="81" t="s">
        <v>485</v>
      </c>
    </row>
    <row r="61" customFormat="false" ht="15" hidden="false" customHeight="true" outlineLevel="0" collapsed="false">
      <c r="A61" s="80" t="s">
        <v>447</v>
      </c>
      <c r="B61" s="81" t="s">
        <v>49</v>
      </c>
      <c r="C61" s="81" t="s">
        <v>486</v>
      </c>
    </row>
    <row r="62" customFormat="false" ht="23.25" hidden="false" customHeight="true" outlineLevel="0" collapsed="false">
      <c r="A62" s="80" t="s">
        <v>447</v>
      </c>
      <c r="B62" s="81" t="s">
        <v>50</v>
      </c>
      <c r="C62" s="81" t="s">
        <v>487</v>
      </c>
    </row>
    <row r="63" customFormat="false" ht="23.25" hidden="false" customHeight="true" outlineLevel="0" collapsed="false">
      <c r="A63" s="80" t="s">
        <v>488</v>
      </c>
      <c r="B63" s="81" t="s">
        <v>489</v>
      </c>
      <c r="C63" s="81" t="s">
        <v>490</v>
      </c>
    </row>
    <row r="64" customFormat="false" ht="15" hidden="false" customHeight="true" outlineLevel="0" collapsed="false">
      <c r="A64" s="80" t="s">
        <v>488</v>
      </c>
      <c r="B64" s="81" t="s">
        <v>491</v>
      </c>
      <c r="C64" s="81" t="s">
        <v>492</v>
      </c>
    </row>
    <row r="65" customFormat="false" ht="15" hidden="false" customHeight="true" outlineLevel="0" collapsed="false">
      <c r="A65" s="80" t="s">
        <v>488</v>
      </c>
      <c r="B65" s="81" t="s">
        <v>493</v>
      </c>
      <c r="C65" s="81" t="s">
        <v>358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2026-04-16T12:09:57Z</dcterms:created>
  <dc:creator>openpyxl</dc:creator>
  <dc:description/>
  <dc:language>en-US</dc:language>
  <cp:lastModifiedBy/>
  <dcterms:modified xsi:type="dcterms:W3CDTF">2026-04-17T09:51:31Z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