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bbo\EDB Dropbox\Bruno BORDESSOUL\Mon PC (ZB-Bordessoul)\Documents\GEODE A\LPC\BP SCI\"/>
    </mc:Choice>
  </mc:AlternateContent>
  <xr:revisionPtr revIDLastSave="0" documentId="13_ncr:1_{FDCA4D8D-DAA0-47B6-A526-0B0D7ACC51BE}" xr6:coauthVersionLast="47" xr6:coauthVersionMax="47" xr10:uidLastSave="{00000000-0000-0000-0000-000000000000}"/>
  <bookViews>
    <workbookView xWindow="-28920" yWindow="-255" windowWidth="29040" windowHeight="15720" activeTab="7" xr2:uid="{7ADB38EB-8AB3-4733-9FFE-85EC37EE650D}"/>
  </bookViews>
  <sheets>
    <sheet name="BDD" sheetId="1" r:id="rId1"/>
    <sheet name="Feuil1" sheetId="10" state="hidden" r:id="rId2"/>
    <sheet name="SCI 34 RUE HAUTE" sheetId="2" r:id="rId3"/>
    <sheet name="SCI LEGRAND" sheetId="4" r:id="rId4"/>
    <sheet name="SCI ARMEE ORIENT" sheetId="5" r:id="rId5"/>
    <sheet name="SCI CHENNEVIERES" sheetId="7" r:id="rId6"/>
    <sheet name="SCI TAVERNY" sheetId="8" r:id="rId7"/>
    <sheet name="SCI GENERAL JULES BRIMONT" sheetId="6" r:id="rId8"/>
    <sheet name="CONSO" sheetId="9" r:id="rId9"/>
    <sheet name="Emprunts" sheetId="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6" l="1"/>
  <c r="H107" i="9"/>
  <c r="G107" i="9"/>
  <c r="F107" i="9"/>
  <c r="E107" i="9"/>
  <c r="H106" i="9"/>
  <c r="G106" i="9"/>
  <c r="F106" i="9"/>
  <c r="E106" i="9"/>
  <c r="H105" i="9"/>
  <c r="G105" i="9"/>
  <c r="F105" i="9"/>
  <c r="E105" i="9"/>
  <c r="H104" i="9"/>
  <c r="G104" i="9"/>
  <c r="F104" i="9"/>
  <c r="E104" i="9"/>
  <c r="H103" i="9"/>
  <c r="G103" i="9"/>
  <c r="F103" i="9"/>
  <c r="E103" i="9"/>
  <c r="H102" i="9"/>
  <c r="G102" i="9"/>
  <c r="F102" i="9"/>
  <c r="E102" i="9"/>
  <c r="H101" i="9"/>
  <c r="G101" i="9"/>
  <c r="F101" i="9"/>
  <c r="E101" i="9"/>
  <c r="H100" i="9"/>
  <c r="G100" i="9"/>
  <c r="F100" i="9"/>
  <c r="E100" i="9"/>
  <c r="H99" i="9"/>
  <c r="G99" i="9"/>
  <c r="F99" i="9"/>
  <c r="E99" i="9"/>
  <c r="H98" i="9"/>
  <c r="G98" i="9"/>
  <c r="F98" i="9"/>
  <c r="E98" i="9"/>
  <c r="H97" i="9"/>
  <c r="G97" i="9"/>
  <c r="F97" i="9"/>
  <c r="E97" i="9"/>
  <c r="H96" i="9"/>
  <c r="G96" i="9"/>
  <c r="F96" i="9"/>
  <c r="E96" i="9"/>
  <c r="H92" i="9"/>
  <c r="G92" i="9"/>
  <c r="F92" i="9"/>
  <c r="E92" i="9"/>
  <c r="H91" i="9"/>
  <c r="G91" i="9"/>
  <c r="F91" i="9"/>
  <c r="E91" i="9"/>
  <c r="H90" i="9"/>
  <c r="G90" i="9"/>
  <c r="F90" i="9"/>
  <c r="E90" i="9"/>
  <c r="H89" i="9"/>
  <c r="G89" i="9"/>
  <c r="F89" i="9"/>
  <c r="E89" i="9"/>
  <c r="H88" i="9"/>
  <c r="G88" i="9"/>
  <c r="F88" i="9"/>
  <c r="E88" i="9"/>
  <c r="H87" i="9"/>
  <c r="G87" i="9"/>
  <c r="F87" i="9"/>
  <c r="E87" i="9"/>
  <c r="H84" i="9"/>
  <c r="G84" i="9"/>
  <c r="F84" i="9"/>
  <c r="E84" i="9"/>
  <c r="H83" i="9"/>
  <c r="G83" i="9"/>
  <c r="F83" i="9"/>
  <c r="E83" i="9"/>
  <c r="H82" i="9"/>
  <c r="G82" i="9"/>
  <c r="F82" i="9"/>
  <c r="E82" i="9"/>
  <c r="H81" i="9"/>
  <c r="G81" i="9"/>
  <c r="F81" i="9"/>
  <c r="E81" i="9"/>
  <c r="H80" i="9"/>
  <c r="G80" i="9"/>
  <c r="F80" i="9"/>
  <c r="E80" i="9"/>
  <c r="H79" i="9"/>
  <c r="G79" i="9"/>
  <c r="F79" i="9"/>
  <c r="E79" i="9"/>
  <c r="H78" i="9"/>
  <c r="G78" i="9"/>
  <c r="F78" i="9"/>
  <c r="E78" i="9"/>
  <c r="H77" i="9"/>
  <c r="G77" i="9"/>
  <c r="F77" i="9"/>
  <c r="E77" i="9"/>
  <c r="H76" i="9"/>
  <c r="G76" i="9"/>
  <c r="F76" i="9"/>
  <c r="E76" i="9"/>
  <c r="H75" i="9"/>
  <c r="G75" i="9"/>
  <c r="F75" i="9"/>
  <c r="E75" i="9"/>
  <c r="H74" i="9"/>
  <c r="G74" i="9"/>
  <c r="F74" i="9"/>
  <c r="E74" i="9"/>
  <c r="H66" i="9"/>
  <c r="G66" i="9"/>
  <c r="F66" i="9"/>
  <c r="E66" i="9"/>
  <c r="H65" i="9"/>
  <c r="G65" i="9"/>
  <c r="F65" i="9"/>
  <c r="E65" i="9"/>
  <c r="H61" i="9"/>
  <c r="G61" i="9"/>
  <c r="F61" i="9"/>
  <c r="E61" i="9"/>
  <c r="G59" i="9"/>
  <c r="F59" i="9"/>
  <c r="E59" i="9"/>
  <c r="H57" i="9"/>
  <c r="G57" i="9"/>
  <c r="F57" i="9"/>
  <c r="E57" i="9"/>
  <c r="H56" i="9"/>
  <c r="G56" i="9"/>
  <c r="F56" i="9"/>
  <c r="E56" i="9"/>
  <c r="G54" i="9"/>
  <c r="F54" i="9"/>
  <c r="E54" i="9"/>
  <c r="G53" i="9"/>
  <c r="F53" i="9"/>
  <c r="E53" i="9"/>
  <c r="G52" i="9"/>
  <c r="F52" i="9"/>
  <c r="E52" i="9"/>
  <c r="G51" i="9"/>
  <c r="F51" i="9"/>
  <c r="E51" i="9"/>
  <c r="G50" i="9"/>
  <c r="F50" i="9"/>
  <c r="E50" i="9"/>
  <c r="G49" i="9"/>
  <c r="F49" i="9"/>
  <c r="E49" i="9"/>
  <c r="H48" i="9"/>
  <c r="G48" i="9"/>
  <c r="F48" i="9"/>
  <c r="E48" i="9"/>
  <c r="G47" i="9"/>
  <c r="F47" i="9"/>
  <c r="E47" i="9"/>
  <c r="H46" i="9"/>
  <c r="G46" i="9"/>
  <c r="F46" i="9"/>
  <c r="E46" i="9"/>
  <c r="G45" i="9"/>
  <c r="F45" i="9"/>
  <c r="E45" i="9"/>
  <c r="G44" i="9"/>
  <c r="F44" i="9"/>
  <c r="E44" i="9"/>
  <c r="H43" i="9"/>
  <c r="G43" i="9"/>
  <c r="F43" i="9"/>
  <c r="E43" i="9"/>
  <c r="H42" i="9"/>
  <c r="G42" i="9"/>
  <c r="F42" i="9"/>
  <c r="E42" i="9"/>
  <c r="H41" i="9"/>
  <c r="G41" i="9"/>
  <c r="F41" i="9"/>
  <c r="E41" i="9"/>
  <c r="H40" i="9"/>
  <c r="G40" i="9"/>
  <c r="F40" i="9"/>
  <c r="E40" i="9"/>
  <c r="H37" i="9"/>
  <c r="G37" i="9"/>
  <c r="F37" i="9"/>
  <c r="E37" i="9"/>
  <c r="E33" i="9"/>
  <c r="F33" i="9"/>
  <c r="E34" i="9"/>
  <c r="F34" i="9"/>
  <c r="G34" i="9"/>
  <c r="E35" i="9"/>
  <c r="F35" i="9"/>
  <c r="F32" i="9"/>
  <c r="G32" i="9"/>
  <c r="E32" i="9"/>
  <c r="G44" i="5"/>
  <c r="G34" i="5"/>
  <c r="G32" i="5"/>
  <c r="J32" i="5" s="1"/>
  <c r="H45" i="7"/>
  <c r="G44" i="7"/>
  <c r="G34" i="7"/>
  <c r="G32" i="7"/>
  <c r="J31" i="2" l="1"/>
  <c r="J32" i="2"/>
  <c r="J33" i="2"/>
  <c r="J34" i="2"/>
  <c r="J35" i="2"/>
  <c r="J36" i="2"/>
  <c r="J37" i="2"/>
  <c r="J38" i="2"/>
  <c r="H59" i="8"/>
  <c r="H66" i="6"/>
  <c r="H64" i="6" s="1"/>
  <c r="H67" i="6" s="1"/>
  <c r="H68" i="6" s="1"/>
  <c r="H59" i="6"/>
  <c r="H53" i="6"/>
  <c r="H53" i="9" s="1"/>
  <c r="H45" i="6"/>
  <c r="H45" i="9" s="1"/>
  <c r="H33" i="6"/>
  <c r="H33" i="9" s="1"/>
  <c r="H32" i="6"/>
  <c r="H32" i="9" s="1"/>
  <c r="H6" i="6"/>
  <c r="H7" i="6"/>
  <c r="H8" i="6"/>
  <c r="H9" i="6"/>
  <c r="H10" i="6"/>
  <c r="H11" i="6"/>
  <c r="H5" i="6"/>
  <c r="H60" i="6"/>
  <c r="H57" i="6"/>
  <c r="H56" i="6"/>
  <c r="H55" i="6" s="1"/>
  <c r="H54" i="6"/>
  <c r="H54" i="9" s="1"/>
  <c r="H52" i="6"/>
  <c r="H52" i="9" s="1"/>
  <c r="H51" i="6"/>
  <c r="H51" i="9" s="1"/>
  <c r="H50" i="6"/>
  <c r="H50" i="9" s="1"/>
  <c r="H49" i="6"/>
  <c r="H49" i="9" s="1"/>
  <c r="H47" i="6"/>
  <c r="H47" i="9" s="1"/>
  <c r="H44" i="6"/>
  <c r="H44" i="9" s="1"/>
  <c r="H36" i="6"/>
  <c r="H34" i="6"/>
  <c r="H34" i="9" s="1"/>
  <c r="H58" i="8"/>
  <c r="H66" i="8"/>
  <c r="H32" i="8"/>
  <c r="H64" i="8"/>
  <c r="H67" i="8" s="1"/>
  <c r="H68" i="8" s="1"/>
  <c r="H5" i="8"/>
  <c r="H54" i="8"/>
  <c r="H60" i="8"/>
  <c r="H57" i="8"/>
  <c r="H56" i="8"/>
  <c r="H55" i="8"/>
  <c r="H52" i="8"/>
  <c r="H39" i="8" s="1"/>
  <c r="H51" i="8"/>
  <c r="H50" i="8"/>
  <c r="H49" i="8"/>
  <c r="H47" i="8"/>
  <c r="H44" i="8"/>
  <c r="H36" i="8"/>
  <c r="H35" i="8"/>
  <c r="H34" i="8"/>
  <c r="H33" i="8"/>
  <c r="H66" i="7"/>
  <c r="H6" i="7"/>
  <c r="H5" i="7"/>
  <c r="H64" i="7"/>
  <c r="H67" i="7" s="1"/>
  <c r="H68" i="7" s="1"/>
  <c r="H60" i="7"/>
  <c r="H59" i="7"/>
  <c r="H58" i="7"/>
  <c r="H57" i="7"/>
  <c r="H56" i="7"/>
  <c r="H55" i="7"/>
  <c r="H54" i="7"/>
  <c r="H52" i="7"/>
  <c r="H51" i="7"/>
  <c r="H50" i="7"/>
  <c r="H49" i="7"/>
  <c r="H47" i="7"/>
  <c r="H44" i="7"/>
  <c r="H39" i="7" s="1"/>
  <c r="H62" i="7" s="1"/>
  <c r="H36" i="7"/>
  <c r="H35" i="7"/>
  <c r="H34" i="7"/>
  <c r="H33" i="7"/>
  <c r="H32" i="7"/>
  <c r="H66" i="5"/>
  <c r="H47" i="5"/>
  <c r="H64" i="5"/>
  <c r="H67" i="5" s="1"/>
  <c r="H68" i="5" s="1"/>
  <c r="H60" i="5"/>
  <c r="H59" i="5"/>
  <c r="H58" i="5"/>
  <c r="H57" i="5"/>
  <c r="H56" i="5"/>
  <c r="H55" i="5"/>
  <c r="H54" i="5"/>
  <c r="H52" i="5"/>
  <c r="H51" i="5"/>
  <c r="H50" i="5"/>
  <c r="H49" i="5"/>
  <c r="H45" i="5"/>
  <c r="H44" i="5"/>
  <c r="H36" i="5"/>
  <c r="H35" i="5"/>
  <c r="H34" i="5"/>
  <c r="H33" i="5"/>
  <c r="H32" i="5"/>
  <c r="H6" i="5"/>
  <c r="H5" i="5"/>
  <c r="H66" i="4"/>
  <c r="BH6" i="3"/>
  <c r="BH7" i="3"/>
  <c r="H66" i="2" s="1"/>
  <c r="BH8" i="3"/>
  <c r="BH9" i="3"/>
  <c r="BH10" i="3"/>
  <c r="BH11" i="3"/>
  <c r="BH12" i="3"/>
  <c r="H64" i="4" s="1"/>
  <c r="H67" i="4" s="1"/>
  <c r="H68" i="4" s="1"/>
  <c r="BH13" i="3"/>
  <c r="BH14" i="3"/>
  <c r="BH15" i="3"/>
  <c r="BH16" i="3"/>
  <c r="BH17" i="3"/>
  <c r="BH18" i="3"/>
  <c r="BH19" i="3"/>
  <c r="BH20" i="3"/>
  <c r="BH21" i="3"/>
  <c r="BH22" i="3"/>
  <c r="BH23" i="3"/>
  <c r="BH24" i="3"/>
  <c r="H54" i="4"/>
  <c r="H6" i="4"/>
  <c r="H5" i="4"/>
  <c r="H60" i="4"/>
  <c r="H59" i="4"/>
  <c r="H58" i="4"/>
  <c r="H57" i="4"/>
  <c r="H56" i="4"/>
  <c r="H55" i="4"/>
  <c r="H52" i="4"/>
  <c r="H51" i="4"/>
  <c r="H50" i="4"/>
  <c r="H49" i="4"/>
  <c r="H47" i="4"/>
  <c r="H45" i="4"/>
  <c r="H44" i="4"/>
  <c r="H39" i="4"/>
  <c r="H38" i="4"/>
  <c r="H36" i="4"/>
  <c r="H35" i="4"/>
  <c r="H34" i="4"/>
  <c r="H33" i="4"/>
  <c r="H32" i="4"/>
  <c r="H31" i="4"/>
  <c r="Y2" i="3"/>
  <c r="BH5" i="3"/>
  <c r="H59" i="2"/>
  <c r="H54" i="2"/>
  <c r="H51" i="2"/>
  <c r="H52" i="2"/>
  <c r="H50" i="2"/>
  <c r="H49" i="2"/>
  <c r="H48" i="2"/>
  <c r="H47" i="2"/>
  <c r="H46" i="2"/>
  <c r="H45" i="2"/>
  <c r="H43" i="2"/>
  <c r="H41" i="2"/>
  <c r="H42" i="2"/>
  <c r="H40" i="2"/>
  <c r="H44" i="2"/>
  <c r="H57" i="2"/>
  <c r="H56" i="2"/>
  <c r="H35" i="2"/>
  <c r="H34" i="2"/>
  <c r="H33" i="2"/>
  <c r="H32" i="2"/>
  <c r="H6" i="2"/>
  <c r="H7" i="2"/>
  <c r="H8" i="2"/>
  <c r="H9" i="2"/>
  <c r="H10" i="2"/>
  <c r="H5" i="2"/>
  <c r="H58" i="6" l="1"/>
  <c r="H59" i="9"/>
  <c r="H39" i="5"/>
  <c r="H39" i="6"/>
  <c r="H62" i="6" s="1"/>
  <c r="H62" i="8"/>
  <c r="H62" i="5"/>
  <c r="H62" i="4"/>
  <c r="H63" i="4" s="1"/>
  <c r="H69" i="4" s="1"/>
  <c r="H71" i="4" s="1"/>
  <c r="D131" i="9"/>
  <c r="D130" i="9"/>
  <c r="D129" i="9"/>
  <c r="D128" i="9"/>
  <c r="D120" i="9"/>
  <c r="D119" i="9"/>
  <c r="D118" i="9"/>
  <c r="D117" i="9"/>
  <c r="H109" i="9"/>
  <c r="G109" i="9"/>
  <c r="F109" i="9"/>
  <c r="E109" i="9"/>
  <c r="H95" i="9"/>
  <c r="F95" i="9"/>
  <c r="E95" i="9"/>
  <c r="H86" i="9"/>
  <c r="G86" i="9"/>
  <c r="F86" i="9"/>
  <c r="E86" i="9"/>
  <c r="H73" i="9"/>
  <c r="G73" i="9"/>
  <c r="F73" i="9"/>
  <c r="E73" i="9"/>
  <c r="H64" i="9"/>
  <c r="H67" i="9" s="1"/>
  <c r="H68" i="9" s="1"/>
  <c r="G64" i="9"/>
  <c r="G67" i="9" s="1"/>
  <c r="G68" i="9" s="1"/>
  <c r="F64" i="9"/>
  <c r="F67" i="9" s="1"/>
  <c r="F68" i="9" s="1"/>
  <c r="E64" i="9"/>
  <c r="E67" i="9" s="1"/>
  <c r="E68" i="9" s="1"/>
  <c r="H60" i="9"/>
  <c r="G60" i="9"/>
  <c r="F60" i="9"/>
  <c r="E60" i="9"/>
  <c r="H58" i="9"/>
  <c r="G58" i="9"/>
  <c r="F58" i="9"/>
  <c r="E58" i="9"/>
  <c r="H55" i="9"/>
  <c r="G55" i="9"/>
  <c r="F55" i="9"/>
  <c r="E55" i="9"/>
  <c r="H39" i="9"/>
  <c r="G39" i="9"/>
  <c r="F39" i="9"/>
  <c r="E39" i="9"/>
  <c r="H36" i="9"/>
  <c r="G36" i="9"/>
  <c r="F36" i="9"/>
  <c r="E36" i="9"/>
  <c r="F31" i="9"/>
  <c r="F38" i="9" s="1"/>
  <c r="E31" i="9"/>
  <c r="E38" i="9" s="1"/>
  <c r="D26" i="9"/>
  <c r="D25" i="9"/>
  <c r="D24" i="9"/>
  <c r="D23" i="9"/>
  <c r="D10" i="9"/>
  <c r="D22" i="9" s="1"/>
  <c r="D9" i="9"/>
  <c r="D115" i="9" s="1"/>
  <c r="D8" i="9"/>
  <c r="D114" i="9" s="1"/>
  <c r="D7" i="9"/>
  <c r="D124" i="9" s="1"/>
  <c r="D6" i="9"/>
  <c r="D123" i="9" s="1"/>
  <c r="D5" i="9"/>
  <c r="D122" i="9" s="1"/>
  <c r="F62" i="9" l="1"/>
  <c r="D19" i="9"/>
  <c r="D20" i="9"/>
  <c r="G62" i="9"/>
  <c r="D21" i="9"/>
  <c r="D125" i="9"/>
  <c r="D17" i="9"/>
  <c r="H62" i="9"/>
  <c r="D126" i="9"/>
  <c r="D18" i="9"/>
  <c r="E62" i="9"/>
  <c r="E63" i="9" s="1"/>
  <c r="E69" i="9" s="1"/>
  <c r="E71" i="9" s="1"/>
  <c r="G95" i="9"/>
  <c r="F63" i="9"/>
  <c r="F69" i="9" s="1"/>
  <c r="F71" i="9" s="1"/>
  <c r="D116" i="9"/>
  <c r="D127" i="9"/>
  <c r="D111" i="9"/>
  <c r="D112" i="9"/>
  <c r="D113" i="9"/>
  <c r="G86" i="6"/>
  <c r="G35" i="6"/>
  <c r="G33" i="6"/>
  <c r="G33" i="9" s="1"/>
  <c r="G86" i="7"/>
  <c r="H86" i="7"/>
  <c r="G86" i="5"/>
  <c r="H95" i="4"/>
  <c r="H86" i="4"/>
  <c r="G86" i="4"/>
  <c r="G86" i="2"/>
  <c r="H86" i="2"/>
  <c r="G35" i="2"/>
  <c r="G33" i="2"/>
  <c r="F90" i="6"/>
  <c r="F91" i="6"/>
  <c r="E91" i="6"/>
  <c r="E90" i="6"/>
  <c r="E86" i="6" s="1"/>
  <c r="F45" i="6"/>
  <c r="F39" i="6" s="1"/>
  <c r="F34" i="6"/>
  <c r="F32" i="6"/>
  <c r="D11" i="6"/>
  <c r="D23" i="6" s="1"/>
  <c r="D118" i="6"/>
  <c r="D10" i="6"/>
  <c r="D22" i="6" s="1"/>
  <c r="D9" i="6"/>
  <c r="D126" i="6" s="1"/>
  <c r="D8" i="6"/>
  <c r="D20" i="6" s="1"/>
  <c r="D7" i="6"/>
  <c r="D124" i="6" s="1"/>
  <c r="D6" i="6"/>
  <c r="D112" i="6" s="1"/>
  <c r="D5" i="6"/>
  <c r="D111" i="6" s="1"/>
  <c r="D5" i="8"/>
  <c r="G73" i="8"/>
  <c r="H73" i="8"/>
  <c r="E73" i="8"/>
  <c r="F73" i="8"/>
  <c r="D132" i="8"/>
  <c r="D131" i="8"/>
  <c r="D130" i="8"/>
  <c r="D129" i="8"/>
  <c r="D128" i="8"/>
  <c r="D127" i="8"/>
  <c r="D126" i="8"/>
  <c r="D125" i="8"/>
  <c r="D121" i="8"/>
  <c r="D120" i="8"/>
  <c r="D119" i="8"/>
  <c r="D118" i="8"/>
  <c r="D117" i="8"/>
  <c r="D116" i="8"/>
  <c r="D115" i="8"/>
  <c r="D114" i="8"/>
  <c r="H110" i="8"/>
  <c r="G110" i="8"/>
  <c r="F110" i="8"/>
  <c r="E110" i="8"/>
  <c r="H96" i="8"/>
  <c r="G96" i="8"/>
  <c r="F96" i="8"/>
  <c r="E96" i="8"/>
  <c r="D89" i="8"/>
  <c r="D88" i="8"/>
  <c r="H87" i="8"/>
  <c r="G87" i="8"/>
  <c r="F87" i="8"/>
  <c r="E87" i="8"/>
  <c r="F67" i="8"/>
  <c r="F68" i="8" s="1"/>
  <c r="E67" i="8"/>
  <c r="E68" i="8" s="1"/>
  <c r="G64" i="8"/>
  <c r="G67" i="8" s="1"/>
  <c r="G68" i="8" s="1"/>
  <c r="F64" i="8"/>
  <c r="E64" i="8"/>
  <c r="G60" i="8"/>
  <c r="G62" i="8" s="1"/>
  <c r="F60" i="8"/>
  <c r="E60" i="8"/>
  <c r="G58" i="8"/>
  <c r="F58" i="8"/>
  <c r="E58" i="8"/>
  <c r="G55" i="8"/>
  <c r="F55" i="8"/>
  <c r="E55" i="8"/>
  <c r="G39" i="8"/>
  <c r="F39" i="8"/>
  <c r="E39" i="8"/>
  <c r="G36" i="8"/>
  <c r="F36" i="8"/>
  <c r="E36" i="8"/>
  <c r="H31" i="8"/>
  <c r="H38" i="8" s="1"/>
  <c r="H63" i="8" s="1"/>
  <c r="H69" i="8" s="1"/>
  <c r="H71" i="8" s="1"/>
  <c r="G31" i="8"/>
  <c r="G38" i="8" s="1"/>
  <c r="F31" i="8"/>
  <c r="F38" i="8" s="1"/>
  <c r="E31" i="8"/>
  <c r="E38" i="8" s="1"/>
  <c r="D26" i="8"/>
  <c r="D25" i="8"/>
  <c r="D24" i="8"/>
  <c r="D23" i="8"/>
  <c r="D22" i="8"/>
  <c r="D21" i="8"/>
  <c r="D20" i="8"/>
  <c r="D19" i="8"/>
  <c r="D124" i="8"/>
  <c r="D123" i="8"/>
  <c r="E66" i="7"/>
  <c r="F66" i="7"/>
  <c r="F44" i="7"/>
  <c r="F39" i="7" s="1"/>
  <c r="F34" i="7"/>
  <c r="F32" i="7"/>
  <c r="D6" i="7"/>
  <c r="D112" i="7" s="1"/>
  <c r="D5" i="7"/>
  <c r="D17" i="7" s="1"/>
  <c r="D131" i="7"/>
  <c r="D130" i="7"/>
  <c r="D129" i="7"/>
  <c r="D128" i="7"/>
  <c r="D127" i="7"/>
  <c r="D126" i="7"/>
  <c r="D125" i="7"/>
  <c r="D124" i="7"/>
  <c r="D120" i="7"/>
  <c r="D119" i="7"/>
  <c r="D118" i="7"/>
  <c r="D117" i="7"/>
  <c r="D116" i="7"/>
  <c r="D115" i="7"/>
  <c r="D114" i="7"/>
  <c r="D113" i="7"/>
  <c r="D111" i="7"/>
  <c r="H109" i="7"/>
  <c r="G109" i="7"/>
  <c r="F109" i="7"/>
  <c r="E109" i="7"/>
  <c r="H95" i="7"/>
  <c r="G95" i="7"/>
  <c r="F95" i="7"/>
  <c r="E95" i="7"/>
  <c r="D88" i="7"/>
  <c r="D87" i="7"/>
  <c r="F86" i="7"/>
  <c r="E86" i="7"/>
  <c r="H73" i="7"/>
  <c r="G73" i="7"/>
  <c r="F73" i="7"/>
  <c r="E73" i="7"/>
  <c r="G64" i="7"/>
  <c r="G67" i="7" s="1"/>
  <c r="G68" i="7" s="1"/>
  <c r="F64" i="7"/>
  <c r="F67" i="7" s="1"/>
  <c r="F68" i="7" s="1"/>
  <c r="E64" i="7"/>
  <c r="E67" i="7" s="1"/>
  <c r="E68" i="7" s="1"/>
  <c r="G60" i="7"/>
  <c r="F60" i="7"/>
  <c r="E60" i="7"/>
  <c r="G58" i="7"/>
  <c r="F58" i="7"/>
  <c r="E58" i="7"/>
  <c r="G55" i="7"/>
  <c r="F55" i="7"/>
  <c r="E55" i="7"/>
  <c r="G39" i="7"/>
  <c r="E39" i="7"/>
  <c r="G36" i="7"/>
  <c r="F36" i="7"/>
  <c r="E36" i="7"/>
  <c r="H31" i="7"/>
  <c r="H38" i="7" s="1"/>
  <c r="H63" i="7" s="1"/>
  <c r="H69" i="7" s="1"/>
  <c r="H71" i="7" s="1"/>
  <c r="G31" i="7"/>
  <c r="G38" i="7" s="1"/>
  <c r="F31" i="7"/>
  <c r="F38" i="7" s="1"/>
  <c r="E31" i="7"/>
  <c r="E38" i="7" s="1"/>
  <c r="D26" i="7"/>
  <c r="D25" i="7"/>
  <c r="D24" i="7"/>
  <c r="D23" i="7"/>
  <c r="D22" i="7"/>
  <c r="D21" i="7"/>
  <c r="D20" i="7"/>
  <c r="D19" i="7"/>
  <c r="F44" i="5"/>
  <c r="E44" i="5"/>
  <c r="F34" i="5"/>
  <c r="F32" i="5"/>
  <c r="E34" i="5"/>
  <c r="E32" i="5"/>
  <c r="D6" i="5"/>
  <c r="D5" i="5"/>
  <c r="D131" i="6"/>
  <c r="D130" i="6"/>
  <c r="D128" i="6"/>
  <c r="D127" i="6"/>
  <c r="D120" i="6"/>
  <c r="D119" i="6"/>
  <c r="D117" i="6"/>
  <c r="D116" i="6"/>
  <c r="D115" i="6"/>
  <c r="D114" i="6"/>
  <c r="H109" i="6"/>
  <c r="G109" i="6"/>
  <c r="F109" i="6"/>
  <c r="E109" i="6"/>
  <c r="H95" i="6"/>
  <c r="G95" i="6"/>
  <c r="F95" i="6"/>
  <c r="E95" i="6"/>
  <c r="D88" i="6"/>
  <c r="D87" i="6"/>
  <c r="H86" i="6"/>
  <c r="H73" i="6"/>
  <c r="G73" i="6"/>
  <c r="F73" i="6"/>
  <c r="E73" i="6"/>
  <c r="G64" i="6"/>
  <c r="G67" i="6" s="1"/>
  <c r="G68" i="6" s="1"/>
  <c r="F64" i="6"/>
  <c r="F67" i="6" s="1"/>
  <c r="F68" i="6" s="1"/>
  <c r="E64" i="6"/>
  <c r="E67" i="6" s="1"/>
  <c r="E68" i="6" s="1"/>
  <c r="G60" i="6"/>
  <c r="F60" i="6"/>
  <c r="E60" i="6"/>
  <c r="G58" i="6"/>
  <c r="F58" i="6"/>
  <c r="E58" i="6"/>
  <c r="G55" i="6"/>
  <c r="F55" i="6"/>
  <c r="E55" i="6"/>
  <c r="G39" i="6"/>
  <c r="E39" i="6"/>
  <c r="G36" i="6"/>
  <c r="F36" i="6"/>
  <c r="E36" i="6"/>
  <c r="F31" i="6"/>
  <c r="F38" i="6" s="1"/>
  <c r="E31" i="6"/>
  <c r="E38" i="6" s="1"/>
  <c r="D26" i="6"/>
  <c r="D25" i="6"/>
  <c r="D24" i="6"/>
  <c r="H35" i="6" l="1"/>
  <c r="G35" i="9"/>
  <c r="G31" i="9" s="1"/>
  <c r="G38" i="9" s="1"/>
  <c r="G63" i="9" s="1"/>
  <c r="G69" i="9" s="1"/>
  <c r="G71" i="9" s="1"/>
  <c r="F86" i="6"/>
  <c r="G31" i="6"/>
  <c r="G38" i="6" s="1"/>
  <c r="G62" i="7"/>
  <c r="G63" i="7" s="1"/>
  <c r="G69" i="7" s="1"/>
  <c r="G71" i="7" s="1"/>
  <c r="D21" i="6"/>
  <c r="G62" i="6"/>
  <c r="D125" i="6"/>
  <c r="F62" i="6"/>
  <c r="F63" i="6" s="1"/>
  <c r="F69" i="6" s="1"/>
  <c r="F71" i="6" s="1"/>
  <c r="E62" i="6"/>
  <c r="E63" i="6" s="1"/>
  <c r="E69" i="6" s="1"/>
  <c r="E71" i="6" s="1"/>
  <c r="D123" i="6"/>
  <c r="D129" i="6"/>
  <c r="D18" i="6"/>
  <c r="D19" i="6"/>
  <c r="D113" i="6"/>
  <c r="D122" i="6"/>
  <c r="D17" i="6"/>
  <c r="D17" i="8"/>
  <c r="D18" i="8"/>
  <c r="D112" i="8"/>
  <c r="G63" i="8"/>
  <c r="G69" i="8" s="1"/>
  <c r="G71" i="8" s="1"/>
  <c r="D113" i="8"/>
  <c r="F62" i="8"/>
  <c r="F63" i="8" s="1"/>
  <c r="F69" i="8" s="1"/>
  <c r="F71" i="8" s="1"/>
  <c r="E62" i="8"/>
  <c r="E63" i="8" s="1"/>
  <c r="E69" i="8" s="1"/>
  <c r="E71" i="8" s="1"/>
  <c r="F62" i="7"/>
  <c r="F63" i="7" s="1"/>
  <c r="F69" i="7" s="1"/>
  <c r="F71" i="7" s="1"/>
  <c r="E62" i="7"/>
  <c r="E63" i="7" s="1"/>
  <c r="E69" i="7" s="1"/>
  <c r="E71" i="7" s="1"/>
  <c r="D18" i="7"/>
  <c r="D122" i="7"/>
  <c r="D123" i="7"/>
  <c r="D131" i="5"/>
  <c r="D130" i="5"/>
  <c r="D129" i="5"/>
  <c r="D128" i="5"/>
  <c r="D127" i="5"/>
  <c r="D126" i="5"/>
  <c r="D125" i="5"/>
  <c r="D124" i="5"/>
  <c r="D120" i="5"/>
  <c r="D119" i="5"/>
  <c r="D118" i="5"/>
  <c r="D117" i="5"/>
  <c r="D116" i="5"/>
  <c r="D115" i="5"/>
  <c r="D114" i="5"/>
  <c r="D113" i="5"/>
  <c r="H109" i="5"/>
  <c r="G109" i="5"/>
  <c r="F109" i="5"/>
  <c r="E109" i="5"/>
  <c r="H95" i="5"/>
  <c r="G95" i="5"/>
  <c r="F95" i="5"/>
  <c r="E95" i="5"/>
  <c r="D88" i="5"/>
  <c r="D87" i="5"/>
  <c r="H86" i="5"/>
  <c r="F86" i="5"/>
  <c r="E86" i="5"/>
  <c r="H73" i="5"/>
  <c r="G73" i="5"/>
  <c r="F73" i="5"/>
  <c r="E73" i="5"/>
  <c r="G64" i="5"/>
  <c r="G67" i="5" s="1"/>
  <c r="G68" i="5" s="1"/>
  <c r="F64" i="5"/>
  <c r="F67" i="5" s="1"/>
  <c r="F68" i="5" s="1"/>
  <c r="E64" i="5"/>
  <c r="E67" i="5" s="1"/>
  <c r="E68" i="5" s="1"/>
  <c r="G60" i="5"/>
  <c r="F60" i="5"/>
  <c r="E60" i="5"/>
  <c r="G58" i="5"/>
  <c r="F58" i="5"/>
  <c r="E58" i="5"/>
  <c r="G55" i="5"/>
  <c r="E55" i="5"/>
  <c r="F39" i="5"/>
  <c r="E39" i="5"/>
  <c r="G39" i="5"/>
  <c r="G36" i="5"/>
  <c r="F36" i="5"/>
  <c r="E36" i="5"/>
  <c r="F31" i="5"/>
  <c r="F38" i="5" s="1"/>
  <c r="E31" i="5"/>
  <c r="E38" i="5" s="1"/>
  <c r="H31" i="5"/>
  <c r="H38" i="5" s="1"/>
  <c r="H63" i="5" s="1"/>
  <c r="H69" i="5" s="1"/>
  <c r="H71" i="5" s="1"/>
  <c r="G31" i="5"/>
  <c r="G38" i="5" s="1"/>
  <c r="D26" i="5"/>
  <c r="D25" i="5"/>
  <c r="D24" i="5"/>
  <c r="D23" i="5"/>
  <c r="D22" i="5"/>
  <c r="D21" i="5"/>
  <c r="D20" i="5"/>
  <c r="D19" i="5"/>
  <c r="D123" i="5"/>
  <c r="D122" i="5"/>
  <c r="D88" i="4"/>
  <c r="D87" i="4"/>
  <c r="E47" i="4"/>
  <c r="F47" i="4"/>
  <c r="F45" i="4"/>
  <c r="E45" i="4"/>
  <c r="F44" i="4"/>
  <c r="E44" i="4"/>
  <c r="F34" i="4"/>
  <c r="E34" i="4"/>
  <c r="F32" i="4"/>
  <c r="F31" i="4" s="1"/>
  <c r="F38" i="4" s="1"/>
  <c r="E32" i="4"/>
  <c r="E31" i="4" s="1"/>
  <c r="E38" i="4" s="1"/>
  <c r="D6" i="4"/>
  <c r="D123" i="4" s="1"/>
  <c r="D5" i="4"/>
  <c r="D111" i="4" s="1"/>
  <c r="D131" i="4"/>
  <c r="D130" i="4"/>
  <c r="D129" i="4"/>
  <c r="D128" i="4"/>
  <c r="D120" i="4"/>
  <c r="D119" i="4"/>
  <c r="D118" i="4"/>
  <c r="D117" i="4"/>
  <c r="D116" i="4"/>
  <c r="D115" i="4"/>
  <c r="H109" i="4"/>
  <c r="G109" i="4"/>
  <c r="F109" i="4"/>
  <c r="E109" i="4"/>
  <c r="G95" i="4"/>
  <c r="F95" i="4"/>
  <c r="E95" i="4"/>
  <c r="F86" i="4"/>
  <c r="E86" i="4"/>
  <c r="H73" i="4"/>
  <c r="G73" i="4"/>
  <c r="F73" i="4"/>
  <c r="E73" i="4"/>
  <c r="G64" i="4"/>
  <c r="G67" i="4" s="1"/>
  <c r="G68" i="4" s="1"/>
  <c r="F64" i="4"/>
  <c r="F67" i="4" s="1"/>
  <c r="F68" i="4" s="1"/>
  <c r="E64" i="4"/>
  <c r="E67" i="4" s="1"/>
  <c r="E68" i="4" s="1"/>
  <c r="G60" i="4"/>
  <c r="F60" i="4"/>
  <c r="E60" i="4"/>
  <c r="G58" i="4"/>
  <c r="F58" i="4"/>
  <c r="E58" i="4"/>
  <c r="G55" i="4"/>
  <c r="F55" i="4"/>
  <c r="E55" i="4"/>
  <c r="G39" i="4"/>
  <c r="G36" i="4"/>
  <c r="F36" i="4"/>
  <c r="E36" i="4"/>
  <c r="G31" i="4"/>
  <c r="G38" i="4" s="1"/>
  <c r="D26" i="4"/>
  <c r="D25" i="4"/>
  <c r="D24" i="4"/>
  <c r="D23" i="4"/>
  <c r="D22" i="4"/>
  <c r="D21" i="4"/>
  <c r="D127" i="4"/>
  <c r="D126" i="4"/>
  <c r="D114" i="4"/>
  <c r="D113" i="4"/>
  <c r="BF4" i="3"/>
  <c r="BD4" i="3"/>
  <c r="BB4" i="3"/>
  <c r="AZ4" i="3"/>
  <c r="AX4" i="3"/>
  <c r="AV4" i="3"/>
  <c r="AT4" i="3"/>
  <c r="AJ4" i="3"/>
  <c r="AL4" i="3"/>
  <c r="AN4" i="3"/>
  <c r="AP4" i="3"/>
  <c r="AR4" i="3"/>
  <c r="X4" i="3"/>
  <c r="Z4" i="3"/>
  <c r="AB4" i="3"/>
  <c r="AD4" i="3"/>
  <c r="AF4" i="3"/>
  <c r="AH4" i="3"/>
  <c r="V4" i="3"/>
  <c r="AO7" i="3"/>
  <c r="H98" i="2"/>
  <c r="G98" i="2"/>
  <c r="H97" i="2"/>
  <c r="G97" i="2"/>
  <c r="H96" i="2"/>
  <c r="G96" i="2"/>
  <c r="H35" i="9" l="1"/>
  <c r="H31" i="9" s="1"/>
  <c r="H38" i="9" s="1"/>
  <c r="H63" i="9" s="1"/>
  <c r="H69" i="9" s="1"/>
  <c r="H71" i="9" s="1"/>
  <c r="H31" i="6"/>
  <c r="H38" i="6" s="1"/>
  <c r="H63" i="6" s="1"/>
  <c r="H69" i="6" s="1"/>
  <c r="H71" i="6" s="1"/>
  <c r="G63" i="6"/>
  <c r="G69" i="6" s="1"/>
  <c r="G71" i="6" s="1"/>
  <c r="G62" i="5"/>
  <c r="G63" i="5" s="1"/>
  <c r="G69" i="5" s="1"/>
  <c r="G71" i="5" s="1"/>
  <c r="E62" i="5"/>
  <c r="E63" i="5" s="1"/>
  <c r="E69" i="5" s="1"/>
  <c r="E71" i="5" s="1"/>
  <c r="F62" i="5"/>
  <c r="F63" i="5" s="1"/>
  <c r="F69" i="5" s="1"/>
  <c r="F71" i="5" s="1"/>
  <c r="D111" i="5"/>
  <c r="D112" i="5"/>
  <c r="D17" i="5"/>
  <c r="D18" i="5"/>
  <c r="D17" i="4"/>
  <c r="F39" i="4"/>
  <c r="D122" i="4"/>
  <c r="E39" i="4"/>
  <c r="E62" i="4" s="1"/>
  <c r="E63" i="4" s="1"/>
  <c r="E69" i="4" s="1"/>
  <c r="E71" i="4" s="1"/>
  <c r="F62" i="4"/>
  <c r="F63" i="4" s="1"/>
  <c r="F69" i="4" s="1"/>
  <c r="F71" i="4" s="1"/>
  <c r="G62" i="4"/>
  <c r="G63" i="4" s="1"/>
  <c r="G69" i="4" s="1"/>
  <c r="G71" i="4" s="1"/>
  <c r="D18" i="4"/>
  <c r="D124" i="4"/>
  <c r="D125" i="4"/>
  <c r="D112" i="4"/>
  <c r="D19" i="4"/>
  <c r="D20" i="4"/>
  <c r="D128" i="2"/>
  <c r="D129" i="2"/>
  <c r="D130" i="2"/>
  <c r="D131" i="2"/>
  <c r="D117" i="2"/>
  <c r="D118" i="2"/>
  <c r="D119" i="2"/>
  <c r="D120" i="2"/>
  <c r="G109" i="2"/>
  <c r="H109" i="2"/>
  <c r="F109" i="2"/>
  <c r="E109" i="2"/>
  <c r="F86" i="2"/>
  <c r="E86" i="2"/>
  <c r="G73" i="2"/>
  <c r="H73" i="2"/>
  <c r="F95" i="2"/>
  <c r="E95" i="2"/>
  <c r="F73" i="2"/>
  <c r="E73" i="2"/>
  <c r="H31" i="2" l="1"/>
  <c r="H38" i="2" s="1"/>
  <c r="H36" i="2"/>
  <c r="H39" i="2"/>
  <c r="H55" i="2"/>
  <c r="H58" i="2"/>
  <c r="H60" i="2"/>
  <c r="H64" i="2"/>
  <c r="H67" i="2" s="1"/>
  <c r="H68" i="2" s="1"/>
  <c r="H62" i="2" l="1"/>
  <c r="H63" i="2" s="1"/>
  <c r="H69" i="2" s="1"/>
  <c r="H71" i="2" s="1"/>
  <c r="D23" i="2" l="1"/>
  <c r="D24" i="2"/>
  <c r="D25" i="2"/>
  <c r="D26" i="2"/>
  <c r="D6" i="2"/>
  <c r="D7" i="2"/>
  <c r="D8" i="2"/>
  <c r="D9" i="2"/>
  <c r="D10" i="2"/>
  <c r="D5" i="2"/>
  <c r="G64" i="2"/>
  <c r="G67" i="2" s="1"/>
  <c r="G68" i="2" s="1"/>
  <c r="G60" i="2"/>
  <c r="G58" i="2"/>
  <c r="G55" i="2"/>
  <c r="G39" i="2"/>
  <c r="G36" i="2"/>
  <c r="G31" i="2"/>
  <c r="G38" i="2" s="1"/>
  <c r="E36" i="2"/>
  <c r="E60" i="2"/>
  <c r="E58" i="2"/>
  <c r="F58" i="2"/>
  <c r="F60" i="2"/>
  <c r="F36" i="2"/>
  <c r="D20" i="2" l="1"/>
  <c r="D114" i="2"/>
  <c r="D125" i="2"/>
  <c r="D19" i="2"/>
  <c r="D113" i="2"/>
  <c r="D124" i="2"/>
  <c r="D18" i="2"/>
  <c r="D123" i="2"/>
  <c r="D112" i="2"/>
  <c r="D17" i="2"/>
  <c r="D122" i="2"/>
  <c r="D111" i="2"/>
  <c r="D22" i="2"/>
  <c r="D127" i="2"/>
  <c r="D116" i="2"/>
  <c r="D21" i="2"/>
  <c r="D126" i="2"/>
  <c r="D115" i="2"/>
  <c r="G62" i="2"/>
  <c r="G63" i="2" s="1"/>
  <c r="G69" i="2" s="1"/>
  <c r="G71" i="2" s="1"/>
  <c r="E55" i="2"/>
  <c r="F64" i="2"/>
  <c r="F67" i="2" s="1"/>
  <c r="F68" i="2" s="1"/>
  <c r="F39" i="2"/>
  <c r="F55" i="2"/>
  <c r="E64" i="2"/>
  <c r="E67" i="2" s="1"/>
  <c r="E68" i="2" s="1"/>
  <c r="E39" i="2"/>
  <c r="E31" i="2"/>
  <c r="E38" i="2" s="1"/>
  <c r="F31" i="2"/>
  <c r="F38" i="2" s="1"/>
  <c r="F62" i="2" l="1"/>
  <c r="F63" i="2" s="1"/>
  <c r="F69" i="2" s="1"/>
  <c r="F71" i="2" s="1"/>
  <c r="E62" i="2"/>
  <c r="E63" i="2" s="1"/>
  <c r="E69" i="2" s="1"/>
  <c r="E71" i="2" s="1"/>
  <c r="X16" i="1" l="1"/>
  <c r="X13" i="1"/>
  <c r="X12" i="1"/>
  <c r="X9" i="1"/>
  <c r="X8" i="1"/>
  <c r="X7" i="1"/>
  <c r="X6" i="1"/>
  <c r="X5" i="1"/>
  <c r="X4" i="1"/>
  <c r="X15" i="1"/>
  <c r="Y15" i="1" s="1"/>
  <c r="V19" i="1"/>
  <c r="X19" i="1"/>
  <c r="AC19" i="1" s="1"/>
  <c r="X18" i="1"/>
  <c r="X20" i="1"/>
  <c r="AC20" i="1" s="1"/>
  <c r="X21" i="1"/>
  <c r="X22" i="1"/>
  <c r="X17" i="1"/>
  <c r="AC17" i="1" s="1"/>
  <c r="S18" i="1"/>
  <c r="V18" i="1" s="1"/>
  <c r="V22" i="1"/>
  <c r="R21" i="1"/>
  <c r="V21" i="1"/>
  <c r="V20" i="1"/>
  <c r="V23" i="1"/>
  <c r="Z23" i="1"/>
  <c r="AC23" i="1" s="1"/>
  <c r="Y9" i="1" l="1"/>
  <c r="Y5" i="1"/>
  <c r="Y6" i="1"/>
  <c r="Y4" i="1"/>
  <c r="Y8" i="1"/>
  <c r="Y7" i="1"/>
  <c r="Y19" i="1"/>
  <c r="Y21" i="1"/>
  <c r="Y20" i="1"/>
  <c r="Y18" i="1"/>
  <c r="Y17" i="1"/>
  <c r="Y22" i="1"/>
  <c r="AC18" i="1"/>
  <c r="AC21" i="1"/>
  <c r="AC22" i="1"/>
  <c r="AD19" i="1" l="1"/>
  <c r="AD18" i="1"/>
  <c r="AD20" i="1"/>
  <c r="AD21" i="1"/>
  <c r="AD22" i="1"/>
  <c r="AD17" i="1"/>
  <c r="V17" i="1" l="1"/>
  <c r="V10" i="1"/>
  <c r="AC16" i="1"/>
  <c r="AC15" i="1"/>
  <c r="V15" i="1"/>
  <c r="AC13" i="1"/>
  <c r="AC14" i="1"/>
  <c r="V14" i="1"/>
  <c r="Z12" i="1" l="1"/>
  <c r="AC11" i="1"/>
  <c r="AC10" i="1"/>
  <c r="V13" i="1"/>
  <c r="V12" i="1"/>
  <c r="Z4" i="1" l="1"/>
  <c r="AC4" i="1" l="1"/>
  <c r="AC5" i="1"/>
  <c r="AC6" i="1"/>
  <c r="AC7" i="1"/>
  <c r="AC8" i="1"/>
  <c r="AC9" i="1"/>
  <c r="AG11" i="1"/>
  <c r="V11" i="1"/>
  <c r="S9" i="1" l="1"/>
  <c r="S8" i="1"/>
  <c r="S7" i="1"/>
  <c r="S6" i="1"/>
  <c r="AD5" i="1" l="1"/>
  <c r="AD4" i="1"/>
  <c r="AD6" i="1"/>
  <c r="AD8" i="1"/>
  <c r="AD9" i="1"/>
  <c r="AD7" i="1"/>
  <c r="V5" i="1"/>
  <c r="Y10" i="1"/>
  <c r="H10" i="1"/>
  <c r="G95" i="2"/>
  <c r="H9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tc={04910DC1-3831-4E56-9BBB-8C4487B6DBD7}</author>
    <author>tc={3E8D2C57-A956-4BD2-B8AF-FCA4D40C2122}</author>
    <author>tc={E3CC8EF2-A28F-4787-990E-46B410E8F0EB}</author>
    <author>tc={B2623F9D-CF8F-4A5E-8691-49E98ABF611B}</author>
    <author>tc={DF7E108F-B56F-4F6C-925D-2017CBE02A2B}</author>
    <author>tc={E7C08983-B3E6-40E2-884F-676FEE24C761}</author>
    <author>tc={9BEE9373-B50A-4CCA-B8F4-38A1DA3FDE00}</author>
    <author>tc={638E765C-96F7-4A11-A053-5E68B1AE1A9D}</author>
    <author>tc={76617B59-463B-4824-907B-5E217EB1B5D1}</author>
    <author>tc={F03A6FC8-CB2E-42A1-BDCD-AC8823348A1D}</author>
    <author>tc={5B176454-25A2-42A8-B79B-10AC8DC34B5F}</author>
    <author>tc={B3CAB888-0337-4F06-B08A-70161AB3713F}</author>
    <author>tc={DB412450-0A72-403D-B8C2-B5AF6DB06EE6}</author>
  </authors>
  <commentList>
    <comment ref="H4" authorId="0" shapeId="0" xr:uid="{04910DC1-3831-4E56-9BBB-8C4487B6DBD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 PARCELLES</t>
      </text>
    </comment>
    <comment ref="Z4" authorId="1" shapeId="0" xr:uid="{3E8D2C57-A956-4BD2-B8AF-FCA4D40C21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 1924k€ et SG 350k€</t>
      </text>
    </comment>
    <comment ref="AE4" authorId="2" shapeId="0" xr:uid="{E3CC8EF2-A28F-4787-990E-46B410E8F0E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 1924k€ et SG 350k€</t>
      </text>
    </comment>
    <comment ref="W5" authorId="3" shapeId="0" xr:uid="{B2623F9D-CF8F-4A5E-8691-49E98ABF61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Selon le diag mais plan = 162m² et 158.3m² utile</t>
      </text>
    </comment>
    <comment ref="AI10" authorId="4" shapeId="0" xr:uid="{DF7E108F-B56F-4F6C-925D-2017CBE02A2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Taux variable Euribor 3 mois capé avec SWAP</t>
      </text>
    </comment>
    <comment ref="AI11" authorId="5" shapeId="0" xr:uid="{E7C08983-B3E6-40E2-884F-676FEE24C7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Euribor 1 mois capé
Réponse :
    Majoré de 0.73%</t>
      </text>
    </comment>
    <comment ref="S12" authorId="6" shapeId="0" xr:uid="{9BEE9373-B50A-4CCA-B8F4-38A1DA3FDE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Depuis 1er janvier 2024 réajustement à la baisse du loyer</t>
      </text>
    </comment>
    <comment ref="W13" authorId="7" shapeId="0" xr:uid="{638E765C-96F7-4A11-A053-5E68B1AE1A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+145m² de jardin</t>
      </text>
    </comment>
    <comment ref="W14" authorId="8" shapeId="0" xr:uid="{76617B59-463B-4824-907B-5E217EB1B5D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Plus 73m² de jardin</t>
      </text>
    </comment>
    <comment ref="W15" authorId="9" shapeId="0" xr:uid="{F03A6FC8-CB2E-42A1-BDCD-AC8823348A1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Jardin 86.1m²</t>
      </text>
    </comment>
    <comment ref="AD16" authorId="10" shapeId="0" xr:uid="{5B176454-25A2-42A8-B79B-10AC8DC34B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Pas ok avec tableau REMY</t>
      </text>
    </comment>
    <comment ref="W17" authorId="11" shapeId="0" xr:uid="{B3CAB888-0337-4F06-B08A-70161AB3713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Jardin 77m²</t>
      </text>
    </comment>
    <comment ref="W23" authorId="12" shapeId="0" xr:uid="{DB412450-0A72-403D-B8C2-B5AF6DB06E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Plus 144m²de terrasse et 170m² de jardin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tc={97E60078-F565-4234-AE3D-8EA4401A25D8}</author>
  </authors>
  <commentList>
    <comment ref="B4" authorId="0" shapeId="0" xr:uid="{97E60078-F565-4234-AE3D-8EA4401A25D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 1924k€ et SG 350k€</t>
      </text>
    </comment>
  </commentList>
</comments>
</file>

<file path=xl/sharedStrings.xml><?xml version="1.0" encoding="utf-8"?>
<sst xmlns="http://schemas.openxmlformats.org/spreadsheetml/2006/main" count="1056" uniqueCount="323">
  <si>
    <t>Bail</t>
  </si>
  <si>
    <t>Financement</t>
  </si>
  <si>
    <t>Detention capital €</t>
  </si>
  <si>
    <t>VALORISATION</t>
  </si>
  <si>
    <t>Date d'aquisition</t>
  </si>
  <si>
    <t>Ville</t>
  </si>
  <si>
    <t xml:space="preserve">adresse </t>
  </si>
  <si>
    <t>N°de lot</t>
  </si>
  <si>
    <t>Destination</t>
  </si>
  <si>
    <t>Locataire</t>
  </si>
  <si>
    <t>date de début</t>
  </si>
  <si>
    <t>date de fin</t>
  </si>
  <si>
    <t>Quote part prix d'achat</t>
  </si>
  <si>
    <t>Quote part non financé/apport</t>
  </si>
  <si>
    <t>Quote part Emprunt</t>
  </si>
  <si>
    <t>Comptes courants débiteurs</t>
  </si>
  <si>
    <t>Damien</t>
  </si>
  <si>
    <t>Sebastien</t>
  </si>
  <si>
    <t>HIO</t>
  </si>
  <si>
    <t>AXORIEL</t>
  </si>
  <si>
    <t>sur base 7% de renta</t>
  </si>
  <si>
    <t>prix m²</t>
  </si>
  <si>
    <t>Démembrement</t>
  </si>
  <si>
    <t>oui/non</t>
  </si>
  <si>
    <t>Taux d'intérêt</t>
  </si>
  <si>
    <t>Taux d'assurance</t>
  </si>
  <si>
    <t>Taux IRA</t>
  </si>
  <si>
    <t>Type de bail</t>
  </si>
  <si>
    <t>SCI</t>
  </si>
  <si>
    <t>HOCHE ERMONT</t>
  </si>
  <si>
    <t>MADELI</t>
  </si>
  <si>
    <t>LEGRAND</t>
  </si>
  <si>
    <t>22 RUE ARAGO</t>
  </si>
  <si>
    <t>oui usufruit SAS</t>
  </si>
  <si>
    <t>Vendu</t>
  </si>
  <si>
    <t>34 RUE HAUTE</t>
  </si>
  <si>
    <t>ARMEE ORIENT</t>
  </si>
  <si>
    <t>CHENNEVIERES</t>
  </si>
  <si>
    <t>TAVERNY</t>
  </si>
  <si>
    <t>GENERAL JULES BRIMONT</t>
  </si>
  <si>
    <t>DEUIL LA BARRE</t>
  </si>
  <si>
    <t>surface terrain m²</t>
  </si>
  <si>
    <t>Prix d'acquisition</t>
  </si>
  <si>
    <t>une maison à usage d'habitation et son terrain</t>
  </si>
  <si>
    <t>Description avant travaux</t>
  </si>
  <si>
    <t>Crèche</t>
  </si>
  <si>
    <t>Ecole</t>
  </si>
  <si>
    <t>Durée</t>
  </si>
  <si>
    <t>Date de fin</t>
  </si>
  <si>
    <t>Code postal</t>
  </si>
  <si>
    <t>LPC YVELINES</t>
  </si>
  <si>
    <t>LPC MEDERIC</t>
  </si>
  <si>
    <t>LPC VAL DE MARNE</t>
  </si>
  <si>
    <t>LPC LE GRAND</t>
  </si>
  <si>
    <t>LPC SCEAUX</t>
  </si>
  <si>
    <t>LPC LE LAC</t>
  </si>
  <si>
    <t>LPC FREJUS</t>
  </si>
  <si>
    <t xml:space="preserve">12 BD DU MONT D'EST </t>
  </si>
  <si>
    <t>NOISY LE GRAND</t>
  </si>
  <si>
    <t>VENDU</t>
  </si>
  <si>
    <t>146/148 RUE HOUDAN</t>
  </si>
  <si>
    <t>SCEAUX</t>
  </si>
  <si>
    <t>Section cadastre</t>
  </si>
  <si>
    <t>E174</t>
  </si>
  <si>
    <t>Surfaces privatives</t>
  </si>
  <si>
    <t>Copro</t>
  </si>
  <si>
    <t>oui</t>
  </si>
  <si>
    <t>Usage</t>
  </si>
  <si>
    <t>commercial</t>
  </si>
  <si>
    <t>bureaux</t>
  </si>
  <si>
    <t>immeuble de 5 étages avec parking jardin et cour</t>
  </si>
  <si>
    <t>BO168 et BO163</t>
  </si>
  <si>
    <t xml:space="preserve">immeuble </t>
  </si>
  <si>
    <t>AE273;AE1086;AE1177</t>
  </si>
  <si>
    <t>non</t>
  </si>
  <si>
    <t>Surface louée en m²</t>
  </si>
  <si>
    <t>soumis à TVA</t>
  </si>
  <si>
    <t>CESAP</t>
  </si>
  <si>
    <t>professionnel</t>
  </si>
  <si>
    <t>Loyer annuel de départ</t>
  </si>
  <si>
    <t>indice revalorisation loyers</t>
  </si>
  <si>
    <t>ICC 4T2023 = 2162</t>
  </si>
  <si>
    <t>ILC</t>
  </si>
  <si>
    <t>logement</t>
  </si>
  <si>
    <t>M. BONHOMME</t>
  </si>
  <si>
    <t>IRL 3T2023 = 141,03</t>
  </si>
  <si>
    <t>M. LEPAGE</t>
  </si>
  <si>
    <t>Logements 1 appartement avec terrasse et jardin RDC</t>
  </si>
  <si>
    <t>Logements 2 appartement RDC</t>
  </si>
  <si>
    <t>Logements 3 1er étage à droite</t>
  </si>
  <si>
    <t>IRL 1T2024 = 143,46</t>
  </si>
  <si>
    <t>Mme CHERIF</t>
  </si>
  <si>
    <t>M. SAIDI</t>
  </si>
  <si>
    <t>Logements 4 1er étage à gauche</t>
  </si>
  <si>
    <t>non trouvé</t>
  </si>
  <si>
    <t>ILC 1T2018 = 127,22</t>
  </si>
  <si>
    <t>Loyer annuel actuel HC (07/2025)</t>
  </si>
  <si>
    <t>Quote part Emprunt reste à payer à fin 2025</t>
  </si>
  <si>
    <t>TOTAL Emprunts</t>
  </si>
  <si>
    <t>15 CE et 7 SG</t>
  </si>
  <si>
    <t>1,35% CE et 3,53% SG</t>
  </si>
  <si>
    <t>J1451-1641-1473-1477-1478-1482-1481-1486-1480</t>
  </si>
  <si>
    <t>ensemble immobilier formé par un local d'activité et son jardin</t>
  </si>
  <si>
    <t>2 mois d'intérêt sur le capital remboursé ou formule</t>
  </si>
  <si>
    <t>EPONE</t>
  </si>
  <si>
    <t>NICE</t>
  </si>
  <si>
    <t>06300</t>
  </si>
  <si>
    <t>8 rue Armée D'Orient</t>
  </si>
  <si>
    <t>Route de Velannes</t>
  </si>
  <si>
    <t>1 semestre d'intérêts au taux conventionnel sur le montant remboursé</t>
  </si>
  <si>
    <t>CHENNEVIERES SUR MARNE</t>
  </si>
  <si>
    <t>Vefa le 01/07/2022</t>
  </si>
  <si>
    <t>ALFORTVILLE</t>
  </si>
  <si>
    <t>105 rue Etienne Dolet</t>
  </si>
  <si>
    <t>ensemble immobilier</t>
  </si>
  <si>
    <t>CHATOU</t>
  </si>
  <si>
    <t>ILC 2T2017 = 110</t>
  </si>
  <si>
    <t>AR39-42</t>
  </si>
  <si>
    <t>Local à usage d'activité</t>
  </si>
  <si>
    <t>PLESSIS BOUCHARD</t>
  </si>
  <si>
    <t>56 Chaussée Jules César</t>
  </si>
  <si>
    <t>Maison individuelle</t>
  </si>
  <si>
    <t>SARL VAL D'OISE</t>
  </si>
  <si>
    <t>32 avenue de Brimont</t>
  </si>
  <si>
    <t>Petits Fils (Pierre Jacques &amp; Co)</t>
  </si>
  <si>
    <t>dérogatoire au statut des baux commerciaux</t>
  </si>
  <si>
    <t>Bureau au RDC</t>
  </si>
  <si>
    <t>ILC 3T2024</t>
  </si>
  <si>
    <t>Mme JOUBERT (Psychomotricienne)</t>
  </si>
  <si>
    <t>30 ter avenue de Brimont</t>
  </si>
  <si>
    <t>ICC 3T2024 = 2143</t>
  </si>
  <si>
    <t>Mme DENANT (Pédicure)</t>
  </si>
  <si>
    <t xml:space="preserve">ILAT </t>
  </si>
  <si>
    <t>Mme DIAZ COURTENAY MAYERS (Pédopsy)</t>
  </si>
  <si>
    <t>ICC 4T2024 = 2108</t>
  </si>
  <si>
    <t>Local professionnel</t>
  </si>
  <si>
    <t>3 rue des Ecoles</t>
  </si>
  <si>
    <t>Mme BARREIRO(diététicienne)</t>
  </si>
  <si>
    <t>49 rue Aristide Briand</t>
  </si>
  <si>
    <t>Local commercial</t>
  </si>
  <si>
    <t>VO</t>
  </si>
  <si>
    <t>VNC</t>
  </si>
  <si>
    <t>Banques</t>
  </si>
  <si>
    <t>Garantie</t>
  </si>
  <si>
    <t>Cautionnement de la SAS + privilège de prêteur de deniers</t>
  </si>
  <si>
    <t>CE</t>
  </si>
  <si>
    <t>SG et CE</t>
  </si>
  <si>
    <t>BNP</t>
  </si>
  <si>
    <t>CA</t>
  </si>
  <si>
    <t>Hypothèque conventionnelle + Cautionnements solidaires HIO et AXORIEL</t>
  </si>
  <si>
    <t>LCL</t>
  </si>
  <si>
    <t>SG</t>
  </si>
  <si>
    <t>Hypothèque Légale Spéciale de Prêteur de Deniers sur le bien immobilier</t>
  </si>
  <si>
    <t xml:space="preserve">Affectation hypothécaire du bien immobilier </t>
  </si>
  <si>
    <t>70881000  REFACT. CH- LOGEMENTS + ASSO</t>
  </si>
  <si>
    <t>Total des Produits d'exploitation</t>
  </si>
  <si>
    <t>PRODUCTION VENDUE DE SERVICES (Chiffre d'affaires)</t>
  </si>
  <si>
    <r>
      <rPr>
        <sz val="11"/>
        <rFont val="Calibri"/>
        <family val="2"/>
      </rPr>
      <t>70651000  LOYERS LOGEMENTS + ASSOC.</t>
    </r>
  </si>
  <si>
    <r>
      <rPr>
        <sz val="11"/>
        <rFont val="Calibri"/>
        <family val="2"/>
      </rPr>
      <t>AUTRES PRODUITS</t>
    </r>
  </si>
  <si>
    <r>
      <rPr>
        <sz val="11"/>
        <rFont val="Calibri"/>
        <family val="2"/>
      </rPr>
      <t>75800000  PRODUITS DE GESTION COURANTE</t>
    </r>
  </si>
  <si>
    <r>
      <rPr>
        <sz val="11"/>
        <rFont val="Calibri"/>
        <family val="2"/>
      </rPr>
      <t>AUTRES ACHATS ET CHARGES EXTERNES</t>
    </r>
  </si>
  <si>
    <r>
      <rPr>
        <sz val="11"/>
        <rFont val="Calibri"/>
        <family val="2"/>
      </rPr>
      <t>60611000  EDF</t>
    </r>
  </si>
  <si>
    <r>
      <rPr>
        <sz val="11"/>
        <rFont val="Calibri"/>
        <family val="2"/>
      </rPr>
      <t>60612000  EAU</t>
    </r>
  </si>
  <si>
    <r>
      <rPr>
        <sz val="11"/>
        <rFont val="Calibri"/>
        <family val="2"/>
      </rPr>
      <t>60613000  GAZ</t>
    </r>
  </si>
  <si>
    <r>
      <rPr>
        <sz val="11"/>
        <rFont val="Calibri"/>
        <family val="2"/>
      </rPr>
      <t>60630000  PETITS OUTILLAGES</t>
    </r>
  </si>
  <si>
    <r>
      <rPr>
        <sz val="11"/>
        <rFont val="Calibri"/>
        <family val="2"/>
      </rPr>
      <t>61420000  CHARGES LOCATIVES - LOG.+ ASSO</t>
    </r>
  </si>
  <si>
    <r>
      <rPr>
        <sz val="11"/>
        <rFont val="Calibri"/>
        <family val="2"/>
      </rPr>
      <t>61510000  ENTRETIEN ET REPARATION CRECHE</t>
    </r>
  </si>
  <si>
    <r>
      <rPr>
        <sz val="11"/>
        <rFont val="Calibri"/>
        <family val="2"/>
      </rPr>
      <t>61520000  ENTRETIEN ET REPARATION LOG+AS</t>
    </r>
  </si>
  <si>
    <r>
      <rPr>
        <sz val="11"/>
        <rFont val="Calibri"/>
        <family val="2"/>
      </rPr>
      <t>61600000  ASSURANCE LOYERS - LOG.+ ASSO.</t>
    </r>
  </si>
  <si>
    <r>
      <rPr>
        <sz val="11"/>
        <rFont val="Calibri"/>
        <family val="2"/>
      </rPr>
      <t>61600300  ASSURANCE MULTIRISQUE</t>
    </r>
  </si>
  <si>
    <r>
      <rPr>
        <sz val="11"/>
        <rFont val="Calibri"/>
        <family val="2"/>
      </rPr>
      <t>62260000  HONORAIRES COMPTABLES</t>
    </r>
  </si>
  <si>
    <r>
      <rPr>
        <sz val="11"/>
        <rFont val="Calibri"/>
        <family val="2"/>
      </rPr>
      <t>62262000  HONORAIRES JURIDIQUES</t>
    </r>
  </si>
  <si>
    <r>
      <rPr>
        <sz val="11"/>
        <rFont val="Calibri"/>
        <family val="2"/>
      </rPr>
      <t>62268000  HONORAIRES DIVERS</t>
    </r>
  </si>
  <si>
    <r>
      <rPr>
        <sz val="11"/>
        <rFont val="Calibri"/>
        <family val="2"/>
      </rPr>
      <t>62268200  HONORAIRES GESTION - LOG.+ASS</t>
    </r>
  </si>
  <si>
    <r>
      <rPr>
        <sz val="11"/>
        <rFont val="Calibri"/>
        <family val="2"/>
      </rPr>
      <t>62270000  FRAIS D'ACTES ET CONTENCIEUX</t>
    </r>
  </si>
  <si>
    <r>
      <rPr>
        <sz val="11"/>
        <rFont val="Calibri"/>
        <family val="2"/>
      </rPr>
      <t>62780000  FRAIS BANCAIRES</t>
    </r>
  </si>
  <si>
    <r>
      <rPr>
        <sz val="11"/>
        <rFont val="Calibri"/>
        <family val="2"/>
      </rPr>
      <t>IMPOTS, TAXES ET VERSEMENTS ASSIMILES</t>
    </r>
  </si>
  <si>
    <r>
      <rPr>
        <sz val="11"/>
        <rFont val="Calibri"/>
        <family val="2"/>
      </rPr>
      <t>63512000  TAXE FONCIERES</t>
    </r>
  </si>
  <si>
    <r>
      <rPr>
        <sz val="11"/>
        <rFont val="Calibri"/>
        <family val="2"/>
      </rPr>
      <t>63513000  TAXE ORDURES MENAGERES</t>
    </r>
  </si>
  <si>
    <r>
      <rPr>
        <sz val="11"/>
        <rFont val="Calibri"/>
        <family val="2"/>
      </rPr>
      <t>DOTATIONS AUX AMORTISSEMENTS SUR IMMOBILISATIONS</t>
    </r>
  </si>
  <si>
    <r>
      <rPr>
        <sz val="11"/>
        <rFont val="Calibri"/>
        <family val="2"/>
      </rPr>
      <t>68112000  DOTATION AMORT. IMMOB.CORP.</t>
    </r>
  </si>
  <si>
    <r>
      <rPr>
        <sz val="11"/>
        <rFont val="Calibri"/>
        <family val="2"/>
      </rPr>
      <t>AUTRES CHARGES</t>
    </r>
  </si>
  <si>
    <r>
      <rPr>
        <sz val="11"/>
        <rFont val="Calibri"/>
        <family val="2"/>
      </rPr>
      <t>65800000  CHARGES DE GESTION COURANTE</t>
    </r>
  </si>
  <si>
    <r>
      <rPr>
        <sz val="11"/>
        <rFont val="Calibri"/>
        <family val="2"/>
      </rPr>
      <t>INTERETS ET CHARGES ASSIMILEES</t>
    </r>
  </si>
  <si>
    <r>
      <rPr>
        <sz val="11"/>
        <rFont val="Calibri"/>
        <family val="2"/>
      </rPr>
      <t>66100000  INTERETS BANCAIRES</t>
    </r>
  </si>
  <si>
    <r>
      <rPr>
        <sz val="11"/>
        <rFont val="Calibri"/>
        <family val="2"/>
      </rPr>
      <t>66112000  INTERETS DES EMPRUNTS - CE</t>
    </r>
  </si>
  <si>
    <t>Total des Charges d'exploitation</t>
  </si>
  <si>
    <t>Résultat d'exploitation</t>
  </si>
  <si>
    <t>Total des Charges financières</t>
  </si>
  <si>
    <t>Résultat financier</t>
  </si>
  <si>
    <t>Résultat courant avant impôts</t>
  </si>
  <si>
    <t>69500000  IS</t>
  </si>
  <si>
    <t>Résultat NET</t>
  </si>
  <si>
    <t>Location 7</t>
  </si>
  <si>
    <t>Location 8</t>
  </si>
  <si>
    <t>Location 9</t>
  </si>
  <si>
    <t>Location 10</t>
  </si>
  <si>
    <t>LOCATIONS</t>
  </si>
  <si>
    <t>CHARGES LOCATIVES</t>
  </si>
  <si>
    <t>nb m²</t>
  </si>
  <si>
    <t>TERRAIN</t>
  </si>
  <si>
    <t>AGENCEMENTS TERRAIN</t>
  </si>
  <si>
    <t>GROS ŒUVRE CRECHE</t>
  </si>
  <si>
    <t>GROS ŒUVRE LOGEMENTS</t>
  </si>
  <si>
    <t>FACADE ETANCHEITE CRECHE</t>
  </si>
  <si>
    <t>FACADE ETANCHEITE LOGEMENTS</t>
  </si>
  <si>
    <t>INSTALLATIONS CRECHE</t>
  </si>
  <si>
    <t>INSTALLATIONS LOGEMENTS</t>
  </si>
  <si>
    <t>AGENCEMENTS CRECHE</t>
  </si>
  <si>
    <t>AGENCEMENTS LOGEMENTS</t>
  </si>
  <si>
    <t>AGENCEMENTS SUPPL LOGEMENTS</t>
  </si>
  <si>
    <t>IMMOBILISATIONS VO</t>
  </si>
  <si>
    <t>EMPRUNT CE VO</t>
  </si>
  <si>
    <t>FINANCEMENTS IMMO</t>
  </si>
  <si>
    <t>C/C HIO SARLU</t>
  </si>
  <si>
    <t>C/C AXORIEL SARLU</t>
  </si>
  <si>
    <t>DETTE FRS</t>
  </si>
  <si>
    <t>EMPRUNT CE 409k€</t>
  </si>
  <si>
    <t>EMPRUNT CE 1515k€</t>
  </si>
  <si>
    <t>DG LOGEMENTS</t>
  </si>
  <si>
    <t>DG CRECHE</t>
  </si>
  <si>
    <t>DETTES RESTANTES</t>
  </si>
  <si>
    <t>CLIENTS AV ET ACPTES RECUS</t>
  </si>
  <si>
    <t>DETTES FISCALES ET SOCIALES</t>
  </si>
  <si>
    <t>DETTES FRS</t>
  </si>
  <si>
    <t>AUTRES DETTES</t>
  </si>
  <si>
    <t>VALORISATION DES BIENS</t>
  </si>
  <si>
    <t>ESTIMATION A LA VALEUR DU MARCHE</t>
  </si>
  <si>
    <t>ESTIMATION A LA PARTIR DE LA RENTABILITE DU LOYER</t>
  </si>
  <si>
    <t>Nom prêt</t>
  </si>
  <si>
    <t>Société</t>
  </si>
  <si>
    <t>Banque</t>
  </si>
  <si>
    <t>N° cpte compta</t>
  </si>
  <si>
    <t>Montant prêt</t>
  </si>
  <si>
    <t>Date 1ere échéance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</si>
  <si>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</si>
  <si>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</si>
  <si>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</si>
  <si>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</si>
  <si>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</si>
  <si>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</si>
  <si>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</si>
  <si>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</si>
  <si>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</si>
  <si>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</si>
  <si>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Échéance (K+I)</t>
  </si>
  <si>
    <t>solde fin K</t>
  </si>
  <si>
    <t>Échéance</t>
  </si>
  <si>
    <t>solde fin</t>
  </si>
  <si>
    <t>CE_SCI HOCHE</t>
  </si>
  <si>
    <t>9-HOCHE</t>
  </si>
  <si>
    <t>CE_SCI 34 HAUTE</t>
  </si>
  <si>
    <t>9-HAUTE</t>
  </si>
  <si>
    <t>220154G</t>
  </si>
  <si>
    <t>SG_SCI 34 HAUTE</t>
  </si>
  <si>
    <t>BNP_SCI LEGRAND</t>
  </si>
  <si>
    <t>9-LEGRAND</t>
  </si>
  <si>
    <t>BNP_SCI MADELI</t>
  </si>
  <si>
    <t>9-MADELI</t>
  </si>
  <si>
    <t>CE_SCI ARAGO</t>
  </si>
  <si>
    <t>9-ARAGO</t>
  </si>
  <si>
    <t>SG_SCI LEGRAND</t>
  </si>
  <si>
    <t>CA_SCI ORIENT</t>
  </si>
  <si>
    <t>9-ORIENT</t>
  </si>
  <si>
    <t>LCL_SCI ORIENT</t>
  </si>
  <si>
    <t>LCL_SCI CHENNEVIERES</t>
  </si>
  <si>
    <t>9-CHENNEVIERES</t>
  </si>
  <si>
    <t>CE_SCI TAVERNY</t>
  </si>
  <si>
    <t>9-TAVERNY</t>
  </si>
  <si>
    <t>CE_SCI CHATOU</t>
  </si>
  <si>
    <t>9-GJB</t>
  </si>
  <si>
    <t>LCL_SCI PLESSIS</t>
  </si>
  <si>
    <t>SG_SCI ALFORTVILLE</t>
  </si>
  <si>
    <t>LCL_900k</t>
  </si>
  <si>
    <t>BNP_793k</t>
  </si>
  <si>
    <t>EMPRUNT SG 350k€</t>
  </si>
  <si>
    <t>SCI 34 RUE HAUTE</t>
  </si>
  <si>
    <t>Taux</t>
  </si>
  <si>
    <t>Année fin</t>
  </si>
  <si>
    <t>sur emprunt SG voir formule (environ 6 mois d'intérêt)</t>
  </si>
  <si>
    <t>Cautionnement de la SAS (546k€)</t>
  </si>
  <si>
    <t>page 70 à priori plus rien à partir 03/01/2026</t>
  </si>
  <si>
    <t>voir formule (environ 6 mois d'intérêt)</t>
  </si>
  <si>
    <t>IPPD et hypothèque.</t>
  </si>
  <si>
    <t>SCI LEGRAND</t>
  </si>
  <si>
    <t>Location 3</t>
  </si>
  <si>
    <t>Location 4</t>
  </si>
  <si>
    <t>Location 5</t>
  </si>
  <si>
    <t>Location 6</t>
  </si>
  <si>
    <t>Crèche Noisy</t>
  </si>
  <si>
    <t>Crèche Sceaux</t>
  </si>
  <si>
    <t>Emprunt</t>
  </si>
  <si>
    <t>EMPRUNT BNP 240k€</t>
  </si>
  <si>
    <t>EMPRUNT SG 780k€</t>
  </si>
  <si>
    <t>C/C GROUPE</t>
  </si>
  <si>
    <t>70650000  LOYERS CRECHES</t>
  </si>
  <si>
    <t>SCI ARMEE ORIENT</t>
  </si>
  <si>
    <t>Crèche Epone</t>
  </si>
  <si>
    <t>Crèche Nice</t>
  </si>
  <si>
    <t>70880000  REFACT. CH. - CRECHES</t>
  </si>
  <si>
    <t>EMPRUNT LCL 377k€</t>
  </si>
  <si>
    <t>EMPRUNT CA 665k€</t>
  </si>
  <si>
    <t>SCI CHENNEVIERES</t>
  </si>
  <si>
    <t>Crèche Chennevières</t>
  </si>
  <si>
    <t>Crèche Alforville</t>
  </si>
  <si>
    <t>EMPRUNT LCL 734k€</t>
  </si>
  <si>
    <t>EMPRUNT SG 840 k€</t>
  </si>
  <si>
    <t>IMMO CORPORELLES EN COURS</t>
  </si>
  <si>
    <t>EMPRUNT CE 1408k€</t>
  </si>
  <si>
    <t>Location 2</t>
  </si>
  <si>
    <t>Crèche Taverny</t>
  </si>
  <si>
    <t>SCI TAVERNY</t>
  </si>
  <si>
    <t>SCI GENERAL JULES BRIMONT</t>
  </si>
  <si>
    <t>Crèche Chatou</t>
  </si>
  <si>
    <t>Crèche LPB</t>
  </si>
  <si>
    <t>EMPRUNT CE 1200k€</t>
  </si>
  <si>
    <t>EMPRUNT LCL 740k€</t>
  </si>
  <si>
    <r>
      <rPr>
        <sz val="11"/>
        <rFont val="Calibri"/>
        <family val="2"/>
      </rPr>
      <t>63513000  TAXE ORDURES MENAGERES</t>
    </r>
    <r>
      <rPr>
        <sz val="11"/>
        <color rgb="FF000000"/>
        <rFont val="Calibri"/>
        <family val="2"/>
      </rPr>
      <t xml:space="preserve"> et autres</t>
    </r>
  </si>
  <si>
    <t>LPC TAVERNY</t>
  </si>
  <si>
    <t>sur SG caution HIO et AXORIEL
sur CE hypothèque et Caution SAS</t>
  </si>
  <si>
    <t>sur SG caution HIO et AXORIEL
sur CE hypothèque et Caution solidaire de la SAS</t>
  </si>
  <si>
    <t>Affectation hypothécaire du bien immobilier</t>
  </si>
  <si>
    <t>ok bilan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</si>
</sst>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\ [$€-40C]_-;\-* #,##0\ [$€-40C]_-;_-* &quot;-&quot;??\ [$€-40C]_-;_-@_-"/>
    <numFmt numFmtId="165" formatCode="_-* #,##0.00\ [$€-40C]_-;\-* #,##0.00\ [$€-40C]_-;_-* &quot;-&quot;??\ [$€-40C]_-;_-@_-"/>
    <numFmt numFmtId="166" formatCode="0.000%"/>
    <numFmt numFmtId="167" formatCode="_-* #,##0_-;\-* #,##0_-;_-* &quot;-&quot;??_-;_-@_-"/>
    <numFmt numFmtId="168" formatCode="dd/mm/yy;@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theme="9" tint="-0.249977111117893"/>
      </bottom>
      <diagonal/>
    </border>
    <border>
      <left/>
      <right/>
      <top/>
      <bottom style="thin">
        <color rgb="FF7030A0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20">
    <xf numFmtId="0" fontId="0" fillId="0" borderId="0" xfId="0"/>
    <xf numFmtId="0" fontId="0" fillId="2" borderId="0" xfId="0" applyFill="1"/>
    <xf numFmtId="0" fontId="0" fillId="3" borderId="0" xfId="0" applyFill="1" applyAlignment="1">
      <alignment wrapText="1"/>
    </xf>
    <xf numFmtId="0" fontId="1" fillId="5" borderId="0" xfId="0" applyFont="1" applyFill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6" borderId="2" xfId="0" applyFill="1" applyBorder="1"/>
    <xf numFmtId="0" fontId="0" fillId="0" borderId="0" xfId="0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164" fontId="0" fillId="3" borderId="0" xfId="0" applyNumberFormat="1" applyFill="1" applyAlignment="1">
      <alignment wrapText="1"/>
    </xf>
    <xf numFmtId="10" fontId="0" fillId="0" borderId="0" xfId="1" applyNumberFormat="1" applyFont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/>
    </xf>
    <xf numFmtId="10" fontId="0" fillId="3" borderId="0" xfId="1" applyNumberFormat="1" applyFont="1" applyFill="1" applyAlignment="1">
      <alignment wrapText="1"/>
    </xf>
    <xf numFmtId="10" fontId="0" fillId="0" borderId="0" xfId="1" applyNumberFormat="1" applyFont="1"/>
    <xf numFmtId="10" fontId="0" fillId="0" borderId="0" xfId="1" applyNumberFormat="1" applyFont="1" applyFill="1" applyBorder="1" applyAlignment="1">
      <alignment horizontal="center"/>
    </xf>
    <xf numFmtId="165" fontId="0" fillId="0" borderId="0" xfId="0" applyNumberFormat="1"/>
    <xf numFmtId="0" fontId="0" fillId="2" borderId="4" xfId="0" applyFill="1" applyBorder="1"/>
    <xf numFmtId="0" fontId="0" fillId="2" borderId="5" xfId="0" applyFill="1" applyBorder="1"/>
    <xf numFmtId="165" fontId="0" fillId="2" borderId="5" xfId="0" applyNumberFormat="1" applyFill="1" applyBorder="1" applyAlignment="1">
      <alignment wrapText="1"/>
    </xf>
    <xf numFmtId="165" fontId="0" fillId="2" borderId="5" xfId="0" applyNumberFormat="1" applyFill="1" applyBorder="1"/>
    <xf numFmtId="0" fontId="0" fillId="2" borderId="6" xfId="0" applyFill="1" applyBorder="1" applyAlignment="1">
      <alignment wrapText="1"/>
    </xf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164" fontId="0" fillId="0" borderId="8" xfId="0" applyNumberFormat="1" applyBorder="1"/>
    <xf numFmtId="165" fontId="0" fillId="0" borderId="8" xfId="0" applyNumberFormat="1" applyBorder="1"/>
    <xf numFmtId="164" fontId="0" fillId="0" borderId="8" xfId="0" applyNumberFormat="1" applyBorder="1" applyAlignment="1">
      <alignment wrapText="1"/>
    </xf>
    <xf numFmtId="0" fontId="0" fillId="0" borderId="8" xfId="0" applyBorder="1" applyAlignment="1">
      <alignment wrapText="1"/>
    </xf>
    <xf numFmtId="10" fontId="0" fillId="0" borderId="8" xfId="1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 readingOrder="1"/>
    </xf>
    <xf numFmtId="49" fontId="0" fillId="0" borderId="9" xfId="0" applyNumberFormat="1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1" fillId="0" borderId="0" xfId="0" applyFont="1" applyAlignment="1">
      <alignment horizontal="center" vertical="center" wrapText="1" readingOrder="1"/>
    </xf>
    <xf numFmtId="49" fontId="0" fillId="0" borderId="11" xfId="0" applyNumberFormat="1" applyBorder="1" applyAlignment="1">
      <alignment horizontal="center"/>
    </xf>
    <xf numFmtId="0" fontId="0" fillId="0" borderId="12" xfId="0" applyBorder="1"/>
    <xf numFmtId="14" fontId="0" fillId="0" borderId="13" xfId="0" applyNumberFormat="1" applyBorder="1"/>
    <xf numFmtId="0" fontId="0" fillId="0" borderId="13" xfId="0" applyBorder="1"/>
    <xf numFmtId="164" fontId="0" fillId="0" borderId="13" xfId="0" applyNumberFormat="1" applyBorder="1"/>
    <xf numFmtId="165" fontId="0" fillId="0" borderId="13" xfId="0" applyNumberFormat="1" applyBorder="1"/>
    <xf numFmtId="164" fontId="0" fillId="0" borderId="13" xfId="0" applyNumberFormat="1" applyBorder="1" applyAlignment="1">
      <alignment wrapText="1"/>
    </xf>
    <xf numFmtId="0" fontId="0" fillId="0" borderId="13" xfId="0" applyBorder="1" applyAlignment="1">
      <alignment wrapText="1"/>
    </xf>
    <xf numFmtId="10" fontId="0" fillId="0" borderId="13" xfId="1" applyNumberFormat="1" applyFont="1" applyBorder="1" applyAlignment="1">
      <alignment horizontal="center"/>
    </xf>
    <xf numFmtId="0" fontId="1" fillId="0" borderId="13" xfId="0" applyFont="1" applyBorder="1" applyAlignment="1">
      <alignment horizontal="center" vertical="center" wrapText="1" readingOrder="1"/>
    </xf>
    <xf numFmtId="49" fontId="0" fillId="0" borderId="14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0" fontId="0" fillId="0" borderId="8" xfId="1" applyNumberFormat="1" applyFont="1" applyBorder="1"/>
    <xf numFmtId="0" fontId="0" fillId="7" borderId="8" xfId="0" applyFill="1" applyBorder="1" applyAlignment="1">
      <alignment wrapText="1"/>
    </xf>
    <xf numFmtId="10" fontId="0" fillId="0" borderId="8" xfId="0" applyNumberFormat="1" applyBorder="1"/>
    <xf numFmtId="9" fontId="0" fillId="0" borderId="8" xfId="0" applyNumberFormat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/>
    </xf>
    <xf numFmtId="0" fontId="0" fillId="0" borderId="9" xfId="0" applyBorder="1"/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0" fontId="0" fillId="0" borderId="13" xfId="1" applyNumberFormat="1" applyFont="1" applyBorder="1"/>
    <xf numFmtId="0" fontId="0" fillId="7" borderId="13" xfId="0" applyFill="1" applyBorder="1" applyAlignment="1">
      <alignment wrapText="1"/>
    </xf>
    <xf numFmtId="9" fontId="0" fillId="0" borderId="13" xfId="0" applyNumberFormat="1" applyBorder="1" applyAlignment="1">
      <alignment horizontal="center" vertical="center" wrapText="1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166" fontId="0" fillId="0" borderId="8" xfId="0" applyNumberFormat="1" applyBorder="1"/>
    <xf numFmtId="49" fontId="0" fillId="0" borderId="13" xfId="0" applyNumberFormat="1" applyBorder="1" applyAlignment="1">
      <alignment horizontal="right"/>
    </xf>
    <xf numFmtId="0" fontId="0" fillId="0" borderId="15" xfId="0" applyBorder="1"/>
    <xf numFmtId="14" fontId="0" fillId="0" borderId="16" xfId="0" applyNumberFormat="1" applyBorder="1"/>
    <xf numFmtId="0" fontId="0" fillId="0" borderId="16" xfId="0" applyBorder="1"/>
    <xf numFmtId="164" fontId="0" fillId="0" borderId="16" xfId="0" applyNumberFormat="1" applyBorder="1"/>
    <xf numFmtId="165" fontId="0" fillId="0" borderId="16" xfId="0" applyNumberFormat="1" applyBorder="1"/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0" fontId="0" fillId="0" borderId="16" xfId="1" applyNumberFormat="1" applyFont="1" applyBorder="1"/>
    <xf numFmtId="166" fontId="0" fillId="0" borderId="16" xfId="1" applyNumberFormat="1" applyFont="1" applyBorder="1"/>
    <xf numFmtId="0" fontId="0" fillId="7" borderId="16" xfId="0" applyFill="1" applyBorder="1" applyAlignment="1">
      <alignment wrapText="1"/>
    </xf>
    <xf numFmtId="10" fontId="0" fillId="0" borderId="16" xfId="1" applyNumberFormat="1" applyFont="1" applyBorder="1" applyAlignment="1">
      <alignment horizontal="center"/>
    </xf>
    <xf numFmtId="0" fontId="0" fillId="0" borderId="17" xfId="0" applyBorder="1"/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1" xfId="0" applyBorder="1"/>
    <xf numFmtId="164" fontId="0" fillId="0" borderId="13" xfId="0" applyNumberFormat="1" applyBorder="1" applyAlignment="1">
      <alignment horizontal="center" vertical="center"/>
    </xf>
    <xf numFmtId="164" fontId="0" fillId="3" borderId="0" xfId="0" applyNumberFormat="1" applyFill="1" applyAlignment="1">
      <alignment horizontal="center" wrapText="1"/>
    </xf>
    <xf numFmtId="164" fontId="0" fillId="0" borderId="16" xfId="0" applyNumberFormat="1" applyBorder="1" applyAlignment="1">
      <alignment horizontal="center" vertical="center"/>
    </xf>
    <xf numFmtId="0" fontId="6" fillId="0" borderId="20" xfId="0" applyFont="1" applyBorder="1" applyAlignment="1">
      <alignment horizontal="left" vertical="center" wrapText="1" indent="13"/>
    </xf>
    <xf numFmtId="0" fontId="1" fillId="0" borderId="20" xfId="0" applyFont="1" applyBorder="1" applyAlignment="1">
      <alignment horizontal="left" vertical="center" wrapText="1" indent="13"/>
    </xf>
    <xf numFmtId="0" fontId="1" fillId="0" borderId="20" xfId="0" applyFont="1" applyBorder="1" applyAlignment="1">
      <alignment horizontal="left" vertical="top" wrapText="1" indent="13"/>
    </xf>
    <xf numFmtId="0" fontId="6" fillId="0" borderId="20" xfId="0" applyFont="1" applyBorder="1" applyAlignment="1">
      <alignment horizontal="left" vertical="top" wrapText="1" indent="13"/>
    </xf>
    <xf numFmtId="0" fontId="6" fillId="8" borderId="19" xfId="0" applyFont="1" applyFill="1" applyBorder="1" applyAlignment="1">
      <alignment horizontal="left" vertical="center" wrapText="1" indent="5"/>
    </xf>
    <xf numFmtId="0" fontId="6" fillId="8" borderId="20" xfId="0" applyFont="1" applyFill="1" applyBorder="1" applyAlignment="1">
      <alignment horizontal="left" vertical="center" wrapText="1" indent="5"/>
    </xf>
    <xf numFmtId="0" fontId="7" fillId="9" borderId="21" xfId="0" applyFont="1" applyFill="1" applyBorder="1" applyAlignment="1">
      <alignment horizontal="left" vertical="center" wrapText="1"/>
    </xf>
    <xf numFmtId="0" fontId="7" fillId="9" borderId="18" xfId="0" applyFont="1" applyFill="1" applyBorder="1" applyAlignment="1">
      <alignment horizontal="left" vertical="center" wrapText="1"/>
    </xf>
    <xf numFmtId="0" fontId="5" fillId="9" borderId="18" xfId="0" applyFont="1" applyFill="1" applyBorder="1" applyAlignment="1">
      <alignment horizontal="left" vertical="center" wrapText="1" indent="5"/>
    </xf>
    <xf numFmtId="167" fontId="4" fillId="9" borderId="18" xfId="2" applyNumberFormat="1" applyFont="1" applyFill="1" applyBorder="1"/>
    <xf numFmtId="167" fontId="0" fillId="0" borderId="20" xfId="2" applyNumberFormat="1" applyFont="1" applyBorder="1"/>
    <xf numFmtId="167" fontId="0" fillId="8" borderId="20" xfId="2" applyNumberFormat="1" applyFont="1" applyFill="1" applyBorder="1"/>
    <xf numFmtId="167" fontId="4" fillId="9" borderId="18" xfId="0" applyNumberFormat="1" applyFont="1" applyFill="1" applyBorder="1"/>
    <xf numFmtId="167" fontId="0" fillId="8" borderId="25" xfId="2" applyNumberFormat="1" applyFont="1" applyFill="1" applyBorder="1"/>
    <xf numFmtId="167" fontId="4" fillId="9" borderId="23" xfId="2" applyNumberFormat="1" applyFont="1" applyFill="1" applyBorder="1"/>
    <xf numFmtId="167" fontId="0" fillId="0" borderId="25" xfId="2" applyNumberFormat="1" applyFont="1" applyBorder="1"/>
    <xf numFmtId="0" fontId="6" fillId="0" borderId="21" xfId="0" applyFont="1" applyBorder="1" applyAlignment="1">
      <alignment horizontal="left" vertical="top" wrapText="1" indent="13"/>
    </xf>
    <xf numFmtId="0" fontId="4" fillId="9" borderId="27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0" fillId="0" borderId="25" xfId="0" applyBorder="1"/>
    <xf numFmtId="0" fontId="0" fillId="0" borderId="22" xfId="0" applyBorder="1"/>
    <xf numFmtId="0" fontId="0" fillId="0" borderId="26" xfId="0" applyBorder="1"/>
    <xf numFmtId="0" fontId="4" fillId="9" borderId="19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4" fillId="9" borderId="18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left" vertical="center" wrapText="1" indent="5"/>
    </xf>
    <xf numFmtId="0" fontId="1" fillId="8" borderId="19" xfId="0" applyFont="1" applyFill="1" applyBorder="1" applyAlignment="1">
      <alignment horizontal="left" vertical="center" wrapText="1" indent="5"/>
    </xf>
    <xf numFmtId="167" fontId="0" fillId="8" borderId="19" xfId="2" applyNumberFormat="1" applyFont="1" applyFill="1" applyBorder="1"/>
    <xf numFmtId="0" fontId="1" fillId="8" borderId="21" xfId="0" applyFont="1" applyFill="1" applyBorder="1" applyAlignment="1">
      <alignment horizontal="left" vertical="center" wrapText="1" indent="5"/>
    </xf>
    <xf numFmtId="167" fontId="0" fillId="8" borderId="21" xfId="2" applyNumberFormat="1" applyFont="1" applyFill="1" applyBorder="1"/>
    <xf numFmtId="0" fontId="6" fillId="0" borderId="0" xfId="0" applyFont="1" applyAlignment="1">
      <alignment horizontal="left" vertical="top" wrapText="1" indent="13"/>
    </xf>
    <xf numFmtId="0" fontId="6" fillId="0" borderId="28" xfId="0" applyFont="1" applyBorder="1" applyAlignment="1">
      <alignment horizontal="left" vertical="top" wrapText="1" indent="13"/>
    </xf>
    <xf numFmtId="167" fontId="0" fillId="0" borderId="24" xfId="2" applyNumberFormat="1" applyFont="1" applyBorder="1"/>
    <xf numFmtId="167" fontId="0" fillId="0" borderId="19" xfId="2" applyNumberFormat="1" applyFont="1" applyBorder="1"/>
    <xf numFmtId="0" fontId="6" fillId="0" borderId="29" xfId="0" applyFont="1" applyBorder="1" applyAlignment="1">
      <alignment horizontal="left" vertical="top" wrapText="1" indent="13"/>
    </xf>
    <xf numFmtId="0" fontId="6" fillId="0" borderId="30" xfId="0" applyFont="1" applyBorder="1" applyAlignment="1">
      <alignment horizontal="left" vertical="top" wrapText="1" indent="13"/>
    </xf>
    <xf numFmtId="167" fontId="0" fillId="0" borderId="26" xfId="2" applyNumberFormat="1" applyFont="1" applyBorder="1"/>
    <xf numFmtId="167" fontId="0" fillId="0" borderId="21" xfId="2" applyNumberFormat="1" applyFont="1" applyBorder="1"/>
    <xf numFmtId="17" fontId="9" fillId="10" borderId="28" xfId="0" quotePrefix="1" applyNumberFormat="1" applyFont="1" applyFill="1" applyBorder="1" applyAlignment="1">
      <alignment horizontal="center"/>
    </xf>
    <xf numFmtId="17" fontId="9" fillId="10" borderId="27" xfId="0" quotePrefix="1" applyNumberFormat="1" applyFont="1" applyFill="1" applyBorder="1" applyAlignment="1">
      <alignment horizontal="center"/>
    </xf>
    <xf numFmtId="17" fontId="9" fillId="10" borderId="27" xfId="0" quotePrefix="1" applyNumberFormat="1" applyFont="1" applyFill="1" applyBorder="1"/>
    <xf numFmtId="0" fontId="9" fillId="10" borderId="27" xfId="0" quotePrefix="1" applyFont="1" applyFill="1" applyBorder="1"/>
    <xf numFmtId="167" fontId="9" fillId="10" borderId="27" xfId="2" applyNumberFormat="1" applyFont="1" applyFill="1" applyBorder="1"/>
    <xf numFmtId="0" fontId="9" fillId="10" borderId="27" xfId="0" applyFont="1" applyFill="1" applyBorder="1" applyAlignment="1">
      <alignment horizontal="center"/>
    </xf>
    <xf numFmtId="0" fontId="8" fillId="8" borderId="19" xfId="0" applyFont="1" applyFill="1" applyBorder="1"/>
    <xf numFmtId="17" fontId="9" fillId="10" borderId="29" xfId="0" quotePrefix="1" applyNumberFormat="1" applyFont="1" applyFill="1" applyBorder="1"/>
    <xf numFmtId="17" fontId="9" fillId="10" borderId="0" xfId="0" quotePrefix="1" applyNumberFormat="1" applyFont="1" applyFill="1"/>
    <xf numFmtId="0" fontId="9" fillId="10" borderId="0" xfId="0" quotePrefix="1" applyFont="1" applyFill="1"/>
    <xf numFmtId="167" fontId="9" fillId="10" borderId="0" xfId="2" applyNumberFormat="1" applyFont="1" applyFill="1" applyBorder="1"/>
    <xf numFmtId="0" fontId="9" fillId="10" borderId="0" xfId="0" applyFont="1" applyFill="1" applyAlignment="1">
      <alignment horizontal="center"/>
    </xf>
    <xf numFmtId="0" fontId="8" fillId="8" borderId="20" xfId="0" applyFont="1" applyFill="1" applyBorder="1"/>
    <xf numFmtId="17" fontId="8" fillId="10" borderId="29" xfId="0" applyNumberFormat="1" applyFont="1" applyFill="1" applyBorder="1" applyAlignment="1">
      <alignment horizontal="center"/>
    </xf>
    <xf numFmtId="17" fontId="8" fillId="10" borderId="25" xfId="0" applyNumberFormat="1" applyFont="1" applyFill="1" applyBorder="1" applyAlignment="1">
      <alignment horizontal="center"/>
    </xf>
    <xf numFmtId="17" fontId="8" fillId="10" borderId="0" xfId="0" applyNumberFormat="1" applyFont="1" applyFill="1" applyAlignment="1">
      <alignment horizontal="center"/>
    </xf>
    <xf numFmtId="167" fontId="0" fillId="0" borderId="29" xfId="2" applyNumberFormat="1" applyFont="1" applyBorder="1"/>
    <xf numFmtId="0" fontId="0" fillId="0" borderId="0" xfId="2" applyNumberFormat="1" applyFont="1" applyBorder="1"/>
    <xf numFmtId="167" fontId="0" fillId="0" borderId="0" xfId="2" applyNumberFormat="1" applyFont="1" applyBorder="1"/>
    <xf numFmtId="10" fontId="0" fillId="0" borderId="0" xfId="1" applyNumberFormat="1" applyFont="1" applyBorder="1"/>
    <xf numFmtId="168" fontId="0" fillId="0" borderId="0" xfId="2" applyNumberFormat="1" applyFont="1" applyBorder="1" applyAlignment="1">
      <alignment horizontal="center"/>
    </xf>
    <xf numFmtId="168" fontId="0" fillId="8" borderId="20" xfId="2" applyNumberFormat="1" applyFont="1" applyFill="1" applyBorder="1"/>
    <xf numFmtId="0" fontId="0" fillId="7" borderId="0" xfId="2" applyNumberFormat="1" applyFont="1" applyFill="1" applyBorder="1"/>
    <xf numFmtId="167" fontId="0" fillId="11" borderId="25" xfId="2" applyNumberFormat="1" applyFont="1" applyFill="1" applyBorder="1"/>
    <xf numFmtId="167" fontId="0" fillId="0" borderId="29" xfId="2" applyNumberFormat="1" applyFont="1" applyFill="1" applyBorder="1"/>
    <xf numFmtId="43" fontId="0" fillId="11" borderId="25" xfId="2" applyFont="1" applyFill="1" applyBorder="1"/>
    <xf numFmtId="0" fontId="0" fillId="10" borderId="30" xfId="0" applyFill="1" applyBorder="1"/>
    <xf numFmtId="0" fontId="0" fillId="10" borderId="22" xfId="0" applyFill="1" applyBorder="1"/>
    <xf numFmtId="167" fontId="8" fillId="10" borderId="22" xfId="2" applyNumberFormat="1" applyFont="1" applyFill="1" applyBorder="1"/>
    <xf numFmtId="43" fontId="0" fillId="10" borderId="22" xfId="0" applyNumberFormat="1" applyFill="1" applyBorder="1" applyAlignment="1">
      <alignment horizontal="center"/>
    </xf>
    <xf numFmtId="43" fontId="0" fillId="8" borderId="21" xfId="0" applyNumberFormat="1" applyFill="1" applyBorder="1"/>
    <xf numFmtId="167" fontId="8" fillId="10" borderId="26" xfId="0" applyNumberFormat="1" applyFont="1" applyFill="1" applyBorder="1"/>
    <xf numFmtId="167" fontId="8" fillId="10" borderId="30" xfId="0" applyNumberFormat="1" applyFont="1" applyFill="1" applyBorder="1"/>
    <xf numFmtId="167" fontId="8" fillId="10" borderId="22" xfId="0" applyNumberFormat="1" applyFont="1" applyFill="1" applyBorder="1"/>
    <xf numFmtId="0" fontId="7" fillId="9" borderId="18" xfId="0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center"/>
    </xf>
    <xf numFmtId="167" fontId="0" fillId="7" borderId="20" xfId="2" applyNumberFormat="1" applyFont="1" applyFill="1" applyBorder="1"/>
    <xf numFmtId="165" fontId="0" fillId="0" borderId="25" xfId="0" applyNumberFormat="1" applyBorder="1"/>
    <xf numFmtId="9" fontId="0" fillId="0" borderId="0" xfId="0" applyNumberFormat="1"/>
    <xf numFmtId="167" fontId="0" fillId="0" borderId="0" xfId="0" applyNumberFormat="1"/>
    <xf numFmtId="0" fontId="10" fillId="0" borderId="16" xfId="0" applyFont="1" applyBorder="1"/>
    <xf numFmtId="14" fontId="10" fillId="0" borderId="16" xfId="0" applyNumberFormat="1" applyFont="1" applyBorder="1"/>
    <xf numFmtId="165" fontId="10" fillId="0" borderId="16" xfId="0" applyNumberFormat="1" applyFont="1" applyBorder="1"/>
    <xf numFmtId="165" fontId="10" fillId="0" borderId="25" xfId="0" applyNumberFormat="1" applyFont="1" applyBorder="1"/>
    <xf numFmtId="164" fontId="0" fillId="0" borderId="16" xfId="0" applyNumberFormat="1" applyBorder="1" applyAlignment="1">
      <alignment horizontal="left"/>
    </xf>
    <xf numFmtId="0" fontId="10" fillId="0" borderId="0" xfId="0" applyFont="1" applyAlignment="1">
      <alignment horizontal="center"/>
    </xf>
    <xf numFmtId="0" fontId="4" fillId="9" borderId="0" xfId="0" applyFont="1" applyFill="1" applyAlignment="1">
      <alignment horizontal="center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8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7" borderId="8" xfId="0" applyFill="1" applyBorder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7" borderId="13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8" xfId="1" applyNumberFormat="1" applyFont="1" applyBorder="1" applyAlignment="1">
      <alignment horizontal="right" vertical="center"/>
    </xf>
    <xf numFmtId="10" fontId="0" fillId="0" borderId="0" xfId="1" applyNumberFormat="1" applyFont="1" applyBorder="1" applyAlignment="1">
      <alignment horizontal="right" vertical="center"/>
    </xf>
    <xf numFmtId="0" fontId="0" fillId="7" borderId="8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 readingOrder="1"/>
    </xf>
    <xf numFmtId="14" fontId="0" fillId="0" borderId="8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0" fontId="0" fillId="0" borderId="8" xfId="1" applyNumberFormat="1" applyFont="1" applyBorder="1" applyAlignment="1">
      <alignment horizontal="center" vertical="center" wrapText="1"/>
    </xf>
    <xf numFmtId="10" fontId="0" fillId="0" borderId="0" xfId="1" applyNumberFormat="1" applyFont="1" applyBorder="1" applyAlignment="1">
      <alignment horizontal="center" vertical="center" wrapText="1"/>
    </xf>
    <xf numFmtId="10" fontId="0" fillId="0" borderId="13" xfId="1" applyNumberFormat="1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64" fontId="0" fillId="0" borderId="13" xfId="0" applyNumberForma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" fontId="9" fillId="10" borderId="28" xfId="0" applyNumberFormat="1" applyFont="1" applyFill="1" applyBorder="1" applyAlignment="1">
      <alignment horizontal="center"/>
    </xf>
    <xf numFmtId="1" fontId="9" fillId="10" borderId="24" xfId="0" applyNumberFormat="1" applyFont="1" applyFill="1" applyBorder="1" applyAlignment="1">
      <alignment horizontal="center"/>
    </xf>
    <xf numFmtId="17" fontId="9" fillId="10" borderId="28" xfId="0" applyNumberFormat="1" applyFont="1" applyFill="1" applyBorder="1" applyAlignment="1">
      <alignment horizontal="center"/>
    </xf>
    <xf numFmtId="17" fontId="9" fillId="10" borderId="24" xfId="0" applyNumberFormat="1" applyFont="1" applyFill="1" applyBorder="1" applyAlignment="1">
      <alignment horizontal="center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Emprunts!$B$6:$D$6</c:f>
              <c:strCache>
                <c:ptCount val="3"/>
                <c:pt idx="0">
                  <c:v> CE_SCI 34 HAUTE </c:v>
                </c:pt>
                <c:pt idx="1">
                  <c:v>9-HAUTE</c:v>
                </c:pt>
                <c:pt idx="2">
                  <c:v> CE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Emprunts!$E$6:$AR$6</c15:sqref>
                  </c15:fullRef>
                </c:ext>
              </c:extLst>
              <c:f>(Emprunts!$E$6:$F$6,Emprunts!$J$6:$T$6,Emprunts!$V$6,Emprunts!$X$6,Emprunts!$Z$6,Emprunts!$AB$6,Emprunts!$AD$6,Emprunts!$AF$6,Emprunts!$AH$6,Emprunts!$AJ$6,Emprunts!$AL$6,Emprunts!$AN$6,Emprunts!$AP$6,Emprunts!$AR$6)</c:f>
              <c:numCache>
                <c:formatCode>0.00%</c:formatCode>
                <c:ptCount val="12"/>
                <c:pt idx="0" formatCode="_-* #\ ##0_-;\-* #\ ##0_-;_-* &quot;-&quot;??_-;_-@_-">
                  <c:v>305556.77369127376</c:v>
                </c:pt>
                <c:pt idx="1" formatCode="_-* #\ ##0_-;\-* #\ ##0_-;_-* &quot;-&quot;??_-;_-@_-">
                  <c:v>277076.47760202223</c:v>
                </c:pt>
                <c:pt idx="2" formatCode="_-* #\ ##0_-;\-* #\ ##0_-;_-* &quot;-&quot;??_-;_-@_-">
                  <c:v>248209.30957698025</c:v>
                </c:pt>
                <c:pt idx="3" formatCode="_-* #\ ##0_-;\-* #\ ##0_-;_-* &quot;-&quot;??_-;_-@_-">
                  <c:v>218950.01440762632</c:v>
                </c:pt>
                <c:pt idx="4" formatCode="_-* #\ ##0_-;\-* #\ ##0_-;_-* &quot;-&quot;??_-;_-@_-">
                  <c:v>189293.2654994996</c:v>
                </c:pt>
                <c:pt idx="5" formatCode="_-* #\ ##0_-;\-* #\ ##0_-;_-* &quot;-&quot;??_-;_-@_-">
                  <c:v>159234</c:v>
                </c:pt>
                <c:pt idx="6" formatCode="_-* #\ ##0_-;\-* #\ ##0_-;_-* &quot;-&quot;??_-;_-@_-">
                  <c:v>128766</c:v>
                </c:pt>
                <c:pt idx="7" formatCode="_-* #\ ##0_-;\-* #\ ##0_-;_-* &quot;-&quot;??_-;_-@_-">
                  <c:v>97884</c:v>
                </c:pt>
                <c:pt idx="8" formatCode="_-* #\ ##0_-;\-* #\ ##0_-;_-* &quot;-&quot;??_-;_-@_-">
                  <c:v>66583</c:v>
                </c:pt>
                <c:pt idx="9" formatCode="_-* #\ ##0_-;\-* #\ ##0_-;_-* &quot;-&quot;??_-;_-@_-">
                  <c:v>34856</c:v>
                </c:pt>
                <c:pt idx="10" formatCode="_-* #\ ##0_-;\-* #\ ##0_-;_-* &quot;-&quot;??_-;_-@_-">
                  <c:v>0</c:v>
                </c:pt>
                <c:pt idx="11" formatCode="_-* #\ ##0_-;\-* #\ 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8-492F-9275-2D620DD17B80}"/>
            </c:ext>
          </c:extLst>
        </c:ser>
        <c:ser>
          <c:idx val="2"/>
          <c:order val="2"/>
          <c:tx>
            <c:strRef>
              <c:f>Emprunts!$B$7:$D$7</c:f>
              <c:strCache>
                <c:ptCount val="3"/>
                <c:pt idx="0">
                  <c:v> CE_SCI 34 HAUTE </c:v>
                </c:pt>
                <c:pt idx="1">
                  <c:v>9-HAUTE</c:v>
                </c:pt>
                <c:pt idx="2">
                  <c:v> CE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Emprunts!$E$7:$AR$7</c15:sqref>
                  </c15:fullRef>
                </c:ext>
              </c:extLst>
              <c:f>(Emprunts!$E$7:$F$7,Emprunts!$J$7:$T$7,Emprunts!$V$7,Emprunts!$X$7,Emprunts!$Z$7,Emprunts!$AB$7,Emprunts!$AD$7,Emprunts!$AF$7,Emprunts!$AH$7,Emprunts!$AJ$7,Emprunts!$AL$7,Emprunts!$AN$7,Emprunts!$AP$7,Emprunts!$AR$7)</c:f>
              <c:numCache>
                <c:formatCode>0.00%</c:formatCode>
                <c:ptCount val="12"/>
                <c:pt idx="0" formatCode="_-* #\ ##0_-;\-* #\ ##0_-;_-* &quot;-&quot;??_-;_-@_-">
                  <c:v>1175368.7829993453</c:v>
                </c:pt>
                <c:pt idx="1" formatCode="_-* #\ ##0_-;\-* #\ ##0_-;_-* &quot;-&quot;??_-;_-@_-">
                  <c:v>1070464.9101257892</c:v>
                </c:pt>
                <c:pt idx="2" formatCode="_-* #\ ##0_-;\-* #\ ##0_-;_-* &quot;-&quot;??_-;_-@_-">
                  <c:v>964136.03927316284</c:v>
                </c:pt>
                <c:pt idx="3" formatCode="_-* #\ ##0_-;\-* #\ ##0_-;_-* &quot;-&quot;??_-;_-@_-">
                  <c:v>856362.81348938483</c:v>
                </c:pt>
                <c:pt idx="4" formatCode="_-* #\ ##0_-;\-* #\ ##0_-;_-* &quot;-&quot;??_-;_-@_-">
                  <c:v>747125.61288053193</c:v>
                </c:pt>
                <c:pt idx="5" formatCode="_-* #\ ##0_-;\-* #\ ##0_-;_-* &quot;-&quot;??_-;_-@_-">
                  <c:v>636405</c:v>
                </c:pt>
                <c:pt idx="6" formatCode="_-* #\ ##0_-;\-* #\ ##0_-;_-* &quot;-&quot;??_-;_-@_-">
                  <c:v>524179</c:v>
                </c:pt>
                <c:pt idx="7" formatCode="_-* #\ ##0_-;\-* #\ ##0_-;_-* &quot;-&quot;??_-;_-@_-">
                  <c:v>410430</c:v>
                </c:pt>
                <c:pt idx="8" formatCode="_-* #\ ##0_-;\-* #\ ##0_-;_-* &quot;-&quot;??_-;_-@_-">
                  <c:v>295135</c:v>
                </c:pt>
                <c:pt idx="9" formatCode="_-* #\ ##0_-;\-* #\ ##0_-;_-* &quot;-&quot;??_-;_-@_-">
                  <c:v>178274</c:v>
                </c:pt>
                <c:pt idx="10" formatCode="_-* #\ ##0_-;\-* #\ ##0_-;_-* &quot;-&quot;??_-;_-@_-">
                  <c:v>59826</c:v>
                </c:pt>
                <c:pt idx="11" formatCode="_-* #\ ##0_-;\-* #\ 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C8-492F-9275-2D620DD17B80}"/>
            </c:ext>
          </c:extLst>
        </c:ser>
        <c:ser>
          <c:idx val="3"/>
          <c:order val="3"/>
          <c:tx>
            <c:strRef>
              <c:f>Emprunts!$B$8:$D$8</c:f>
              <c:strCache>
                <c:ptCount val="3"/>
                <c:pt idx="0">
                  <c:v> SG_SCI 34 HAUTE </c:v>
                </c:pt>
                <c:pt idx="1">
                  <c:v>9-HAUTE</c:v>
                </c:pt>
                <c:pt idx="2">
                  <c:v> SG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Emprunts!$E$8:$AR$8</c15:sqref>
                  </c15:fullRef>
                </c:ext>
              </c:extLst>
              <c:f>(Emprunts!$E$8:$F$8,Emprunts!$J$8:$T$8,Emprunts!$V$8,Emprunts!$X$8,Emprunts!$Z$8,Emprunts!$AB$8,Emprunts!$AD$8,Emprunts!$AF$8,Emprunts!$AH$8,Emprunts!$AJ$8,Emprunts!$AL$8,Emprunts!$AN$8,Emprunts!$AP$8,Emprunts!$AR$8)</c:f>
              <c:numCache>
                <c:formatCode>0.00%</c:formatCode>
                <c:ptCount val="12"/>
                <c:pt idx="0" formatCode="_-* #\ ##0_-;\-* #\ ##0_-;_-* &quot;-&quot;??_-;_-@_-">
                  <c:v>308928.84723423043</c:v>
                </c:pt>
                <c:pt idx="1" formatCode="_-* #\ ##0_-;\-* #\ ##0_-;_-* &quot;-&quot;??_-;_-@_-">
                  <c:v>262584.23018713825</c:v>
                </c:pt>
                <c:pt idx="2" formatCode="_-* #\ ##0_-;\-* #\ ##0_-;_-* &quot;-&quot;??_-;_-@_-">
                  <c:v>214576.91834340864</c:v>
                </c:pt>
                <c:pt idx="3" formatCode="_-* #\ ##0_-;\-* #\ ##0_-;_-* &quot;-&quot;??_-;_-@_-">
                  <c:v>164847.25959751342</c:v>
                </c:pt>
                <c:pt idx="4" formatCode="_-* #\ ##0_-;\-* #\ ##0_-;_-* &quot;-&quot;??_-;_-@_-">
                  <c:v>113333.46171953013</c:v>
                </c:pt>
                <c:pt idx="5" formatCode="_-* #\ ##0_-;\-* #\ ##0_-;_-* &quot;-&quot;??_-;_-@_-">
                  <c:v>59972</c:v>
                </c:pt>
                <c:pt idx="6" formatCode="_-* #\ ##0_-;\-* #\ ##0_-;_-* &quot;-&quot;??_-;_-@_-">
                  <c:v>4965</c:v>
                </c:pt>
                <c:pt idx="7" formatCode="_-* #\ ##0_-;\-* #\ 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C8-492F-9275-2D620DD17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Emprunts!$B$5:$D$5</c15:sqref>
                        </c15:formulaRef>
                      </c:ext>
                    </c:extLst>
                    <c:strCache>
                      <c:ptCount val="3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Emprunts!$E$5:$AR$5</c15:sqref>
                        </c15:fullRef>
                        <c15:formulaRef>
                          <c15:sqref>(Emprunts!$E$5:$F$5,Emprunts!$J$5:$T$5,Emprunts!$V$5,Emprunts!$X$5,Emprunts!$Z$5,Emprunts!$AB$5,Emprunts!$AD$5,Emprunts!$AF$5,Emprunts!$AH$5,Emprunts!$AJ$5,Emprunts!$AL$5,Emprunts!$AN$5,Emprunts!$AP$5,Emprunts!$AR$5)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2.8812288073822856E-3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CC8-492F-9275-2D620DD17B80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Emprunts!$B$9:$D$9</c15:sqref>
                        </c15:formulaRef>
                      </c:ext>
                    </c:extLst>
                    <c:strCache>
                      <c:ptCount val="3"/>
                      <c:pt idx="0">
                        <c:v> BNP_SCI LEGRAND </c:v>
                      </c:pt>
                      <c:pt idx="1">
                        <c:v>9-LEGRAND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Emprunts!$E$9:$AR$9</c15:sqref>
                        </c15:fullRef>
                        <c15:formulaRef>
                          <c15:sqref>(Emprunts!$E$9:$F$9,Emprunts!$J$9:$T$9,Emprunts!$V$9,Emprunts!$X$9,Emprunts!$Z$9,Emprunts!$AB$9,Emprunts!$AD$9,Emprunts!$AF$9,Emprunts!$AH$9,Emprunts!$AJ$9,Emprunts!$AL$9,Emprunts!$AN$9,Emprunts!$AP$9,Emprunts!$AR$9)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5217.0699999996341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CC8-492F-9275-2D620DD17B80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Emprunts!$B$10:$D$10</c15:sqref>
                        </c15:formulaRef>
                      </c:ext>
                    </c:extLst>
                    <c:strCache>
                      <c:ptCount val="3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Emprunts!$E$10:$AR$10</c15:sqref>
                        </c15:fullRef>
                        <c15:formulaRef>
                          <c15:sqref>(Emprunts!$E$10:$F$10,Emprunts!$J$10:$T$10,Emprunts!$V$10,Emprunts!$X$10,Emprunts!$Z$10,Emprunts!$AB$10,Emprunts!$AD$10,Emprunts!$AF$10,Emprunts!$AH$10,Emprunts!$AJ$10,Emprunts!$AL$10,Emprunts!$AN$10,Emprunts!$AP$10,Emprunts!$AR$10)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0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CC8-492F-9275-2D620DD17B80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Emprunts!$B$11:$D$11</c15:sqref>
                        </c15:formulaRef>
                      </c:ext>
                    </c:extLst>
                    <c:strCache>
                      <c:ptCount val="3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Emprunts!$E$11:$AR$11</c15:sqref>
                        </c15:fullRef>
                        <c15:formulaRef>
                          <c15:sqref>(Emprunts!$E$11:$F$11,Emprunts!$J$11:$T$11,Emprunts!$V$11,Emprunts!$X$11,Emprunts!$Z$11,Emprunts!$AB$11,Emprunts!$AD$11,Emprunts!$AF$11,Emprunts!$AH$11,Emprunts!$AJ$11,Emprunts!$AL$11,Emprunts!$AN$11,Emprunts!$AP$11,Emprunts!$AR$11)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0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CC8-492F-9275-2D620DD17B80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Emprunts!$B$12:$D$12</c15:sqref>
                        </c15:formulaRef>
                      </c:ext>
                    </c:extLst>
                    <c:strCache>
                      <c:ptCount val="3"/>
                      <c:pt idx="0">
                        <c:v> SG_SCI LEGRAND </c:v>
                      </c:pt>
                      <c:pt idx="1">
                        <c:v>9-LEGRAND</c:v>
                      </c:pt>
                      <c:pt idx="2">
                        <c:v> SG 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Emprunts!$E$12:$AR$12</c15:sqref>
                        </c15:fullRef>
                        <c15:formulaRef>
                          <c15:sqref>(Emprunts!$E$12:$F$12,Emprunts!$J$12:$T$12,Emprunts!$V$12,Emprunts!$X$12,Emprunts!$Z$12,Emprunts!$AB$12,Emprunts!$AD$12,Emprunts!$AF$12,Emprunts!$AH$12,Emprunts!$AJ$12,Emprunts!$AL$12,Emprunts!$AN$12,Emprunts!$AP$12,Emprunts!$AR$12)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421888.90549874143</c:v>
                      </c:pt>
                      <c:pt idx="1" formatCode="_-* #\ ##0_-;\-* #\ ##0_-;_-* &quot;-&quot;??_-;_-@_-">
                        <c:v>369652.16752447974</c:v>
                      </c:pt>
                      <c:pt idx="2" formatCode="_-* #\ ##0_-;\-* #\ ##0_-;_-* &quot;-&quot;??_-;_-@_-">
                        <c:v>316419.55787956738</c:v>
                      </c:pt>
                      <c:pt idx="3" formatCode="_-* #\ ##0_-;\-* #\ ##0_-;_-* &quot;-&quot;??_-;_-@_-">
                        <c:v>262172.09068504494</c:v>
                      </c:pt>
                      <c:pt idx="4" formatCode="_-* #\ ##0_-;\-* #\ ##0_-;_-* &quot;-&quot;??_-;_-@_-">
                        <c:v>206890.41810407222</c:v>
                      </c:pt>
                      <c:pt idx="5" formatCode="_-* #\ ##0_-;\-* #\ ##0_-;_-* &quot;-&quot;??_-;_-@_-">
                        <c:v>150155</c:v>
                      </c:pt>
                      <c:pt idx="6" formatCode="_-* #\ ##0_-;\-* #\ ##0_-;_-* &quot;-&quot;??_-;_-@_-">
                        <c:v>93145</c:v>
                      </c:pt>
                      <c:pt idx="7" formatCode="_-* #\ ##0_-;\-* #\ ##0_-;_-* &quot;-&quot;??_-;_-@_-">
                        <c:v>34641</c:v>
                      </c:pt>
                      <c:pt idx="8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CC8-492F-9275-2D620DD17B80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Emprunts!$B$13:$D$13</c15:sqref>
                        </c15:formulaRef>
                      </c:ext>
                    </c:extLst>
                    <c:strCache>
                      <c:ptCount val="3"/>
                      <c:pt idx="0">
                        <c:v> CA_SCI ORIENT </c:v>
                      </c:pt>
                      <c:pt idx="1">
                        <c:v>9-ORIENT</c:v>
                      </c:pt>
                      <c:pt idx="2">
                        <c:v> CA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Emprunts!$E$13:$AR$13</c15:sqref>
                        </c15:fullRef>
                        <c15:formulaRef>
                          <c15:sqref>(Emprunts!$E$13:$F$13,Emprunts!$J$13:$T$13,Emprunts!$V$13,Emprunts!$X$13,Emprunts!$Z$13,Emprunts!$AB$13,Emprunts!$AD$13,Emprunts!$AF$13,Emprunts!$AH$13,Emprunts!$AJ$13,Emprunts!$AL$13,Emprunts!$AN$13,Emprunts!$AP$13,Emprunts!$AR$13)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553109.81484609994</c:v>
                      </c:pt>
                      <c:pt idx="1" formatCode="_-* #\ ##0_-;\-* #\ ##0_-;_-* &quot;-&quot;??_-;_-@_-">
                        <c:v>511333.5249373964</c:v>
                      </c:pt>
                      <c:pt idx="2" formatCode="_-* #\ ##0_-;\-* #\ ##0_-;_-* &quot;-&quot;??_-;_-@_-">
                        <c:v>468968.59943358751</c:v>
                      </c:pt>
                      <c:pt idx="3" formatCode="_-* #\ ##0_-;\-* #\ ##0_-;_-* &quot;-&quot;??_-;_-@_-">
                        <c:v>426006.74435106228</c:v>
                      </c:pt>
                      <c:pt idx="4" formatCode="_-* #\ ##0_-;\-* #\ ##0_-;_-* &quot;-&quot;??_-;_-@_-">
                        <c:v>382439.54884245817</c:v>
                      </c:pt>
                      <c:pt idx="5" formatCode="_-* #\ ##0_-;\-* #\ ##0_-;_-* &quot;-&quot;??_-;_-@_-">
                        <c:v>338258</c:v>
                      </c:pt>
                      <c:pt idx="6" formatCode="_-* #\ ##0_-;\-* #\ ##0_-;_-* &quot;-&quot;??_-;_-@_-">
                        <c:v>293455</c:v>
                      </c:pt>
                      <c:pt idx="7" formatCode="_-* #\ ##0_-;\-* #\ ##0_-;_-* &quot;-&quot;??_-;_-@_-">
                        <c:v>248020</c:v>
                      </c:pt>
                      <c:pt idx="8" formatCode="_-* #\ ##0_-;\-* #\ ##0_-;_-* &quot;-&quot;??_-;_-@_-">
                        <c:v>201945</c:v>
                      </c:pt>
                      <c:pt idx="9" formatCode="_-* #\ ##0_-;\-* #\ ##0_-;_-* &quot;-&quot;??_-;_-@_-">
                        <c:v>155221</c:v>
                      </c:pt>
                      <c:pt idx="10" formatCode="_-* #\ ##0_-;\-* #\ ##0_-;_-* &quot;-&quot;??_-;_-@_-">
                        <c:v>107838</c:v>
                      </c:pt>
                      <c:pt idx="11" formatCode="_-* #\ ##0_-;\-* #\ ##0_-;_-* &quot;-&quot;??_-;_-@_-">
                        <c:v>59788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CC8-492F-9275-2D620DD17B80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Emprunts!$B$14:$D$14</c15:sqref>
                        </c15:formulaRef>
                      </c:ext>
                    </c:extLst>
                    <c:strCache>
                      <c:ptCount val="3"/>
                      <c:pt idx="0">
                        <c:v> LCL_SCI ORIENT </c:v>
                      </c:pt>
                      <c:pt idx="1">
                        <c:v>9-ORIENT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Emprunts!$E$14:$AR$14</c15:sqref>
                        </c15:fullRef>
                        <c15:formulaRef>
                          <c15:sqref>(Emprunts!$E$14:$F$14,Emprunts!$J$14:$T$14,Emprunts!$V$14,Emprunts!$X$14,Emprunts!$Z$14,Emprunts!$AB$14,Emprunts!$AD$14,Emprunts!$AF$14,Emprunts!$AH$14,Emprunts!$AJ$14,Emprunts!$AL$14,Emprunts!$AN$14,Emprunts!$AP$14,Emprunts!$AR$14)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309355.54274141247</c:v>
                      </c:pt>
                      <c:pt idx="1" formatCode="_-* #\ ##0_-;\-* #\ ##0_-;_-* &quot;-&quot;??_-;_-@_-">
                        <c:v>285116.7821471584</c:v>
                      </c:pt>
                      <c:pt idx="2" formatCode="_-* #\ ##0_-;\-* #\ ##0_-;_-* &quot;-&quot;??_-;_-@_-">
                        <c:v>260438.10634809287</c:v>
                      </c:pt>
                      <c:pt idx="3" formatCode="_-* #\ ##0_-;\-* #\ ##0_-;_-* &quot;-&quot;??_-;_-@_-">
                        <c:v>235311.53121537936</c:v>
                      </c:pt>
                      <c:pt idx="4" formatCode="_-* #\ ##0_-;\-* #\ ##0_-;_-* &quot;-&quot;??_-;_-@_-">
                        <c:v>209728.9277142708</c:v>
                      </c:pt>
                      <c:pt idx="5" formatCode="_-* #\ ##0_-;\-* #\ ##0_-;_-* &quot;-&quot;??_-;_-@_-">
                        <c:v>183682</c:v>
                      </c:pt>
                      <c:pt idx="6" formatCode="_-* #\ ##0_-;\-* #\ ##0_-;_-* &quot;-&quot;??_-;_-@_-">
                        <c:v>157162</c:v>
                      </c:pt>
                      <c:pt idx="7" formatCode="_-* #\ ##0_-;\-* #\ ##0_-;_-* &quot;-&quot;??_-;_-@_-">
                        <c:v>130161</c:v>
                      </c:pt>
                      <c:pt idx="8" formatCode="_-* #\ ##0_-;\-* #\ ##0_-;_-* &quot;-&quot;??_-;_-@_-">
                        <c:v>102670</c:v>
                      </c:pt>
                      <c:pt idx="9" formatCode="_-* #\ ##0_-;\-* #\ ##0_-;_-* &quot;-&quot;??_-;_-@_-">
                        <c:v>74680</c:v>
                      </c:pt>
                      <c:pt idx="10" formatCode="_-* #\ ##0_-;\-* #\ ##0_-;_-* &quot;-&quot;??_-;_-@_-">
                        <c:v>46183</c:v>
                      </c:pt>
                      <c:pt idx="11" formatCode="_-* #\ ##0_-;\-* #\ ##0_-;_-* &quot;-&quot;??_-;_-@_-">
                        <c:v>17167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CC8-492F-9275-2D620DD17B80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Emprunts!$B$15:$D$15</c15:sqref>
                        </c15:formulaRef>
                      </c:ext>
                    </c:extLst>
                    <c:strCache>
                      <c:ptCount val="3"/>
                      <c:pt idx="0">
                        <c:v> LCL_SCI CHENNEVIERES </c:v>
                      </c:pt>
                      <c:pt idx="1">
                        <c:v>9-CHENNEVIERES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Emprunts!$E$15:$AR$15</c15:sqref>
                        </c15:fullRef>
                        <c15:formulaRef>
                          <c15:sqref>(Emprunts!$E$15:$F$15,Emprunts!$J$15:$T$15,Emprunts!$V$15,Emprunts!$X$15,Emprunts!$Z$15,Emprunts!$AB$15,Emprunts!$AD$15,Emprunts!$AF$15,Emprunts!$AH$15,Emprunts!$AJ$15,Emprunts!$AL$15,Emprunts!$AN$15,Emprunts!$AP$15,Emprunts!$AR$15)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685859.27312744362</c:v>
                      </c:pt>
                      <c:pt idx="1" formatCode="_-* #\ ##0_-;\-* #\ ##0_-;_-* &quot;-&quot;??_-;_-@_-">
                        <c:v>645315.15765550383</c:v>
                      </c:pt>
                      <c:pt idx="2" formatCode="_-* #\ ##0_-;\-* #\ ##0_-;_-* &quot;-&quot;??_-;_-@_-">
                        <c:v>602873.59375698224</c:v>
                      </c:pt>
                      <c:pt idx="3" formatCode="_-* #\ ##0_-;\-* #\ ##0_-;_-* &quot;-&quot;??_-;_-@_-">
                        <c:v>558445.78160261549</c:v>
                      </c:pt>
                      <c:pt idx="4" formatCode="_-* #\ ##0_-;\-* #\ ##0_-;_-* &quot;-&quot;??_-;_-@_-">
                        <c:v>511938.76556656288</c:v>
                      </c:pt>
                      <c:pt idx="5" formatCode="_-* #\ ##0_-;\-* #\ ##0_-;_-* &quot;-&quot;??_-;_-@_-">
                        <c:v>463255</c:v>
                      </c:pt>
                      <c:pt idx="6" formatCode="_-* #\ ##0_-;\-* #\ ##0_-;_-* &quot;-&quot;??_-;_-@_-">
                        <c:v>412293</c:v>
                      </c:pt>
                      <c:pt idx="7" formatCode="_-* #\ ##0_-;\-* #\ ##0_-;_-* &quot;-&quot;??_-;_-@_-">
                        <c:v>358946</c:v>
                      </c:pt>
                      <c:pt idx="8" formatCode="_-* #\ ##0_-;\-* #\ ##0_-;_-* &quot;-&quot;??_-;_-@_-">
                        <c:v>303103</c:v>
                      </c:pt>
                      <c:pt idx="9" formatCode="_-* #\ ##0_-;\-* #\ ##0_-;_-* &quot;-&quot;??_-;_-@_-">
                        <c:v>244646</c:v>
                      </c:pt>
                      <c:pt idx="10" formatCode="_-* #\ ##0_-;\-* #\ ##0_-;_-* &quot;-&quot;??_-;_-@_-">
                        <c:v>183453</c:v>
                      </c:pt>
                      <c:pt idx="11" formatCode="_-* #\ ##0_-;\-* #\ ##0_-;_-* &quot;-&quot;??_-;_-@_-">
                        <c:v>119397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CC8-492F-9275-2D620DD17B80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Emprunts!$B$16:$D$16</c15:sqref>
                        </c15:formulaRef>
                      </c:ext>
                    </c:extLst>
                    <c:strCache>
                      <c:ptCount val="3"/>
                      <c:pt idx="0">
                        <c:v> CE_SCI TAVERNY </c:v>
                      </c:pt>
                      <c:pt idx="1">
                        <c:v>9-TAVERNY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Emprunts!$E$16:$AR$16</c15:sqref>
                        </c15:fullRef>
                        <c15:formulaRef>
                          <c15:sqref>(Emprunts!$E$16:$F$16,Emprunts!$J$16:$T$16,Emprunts!$V$16,Emprunts!$X$16,Emprunts!$Z$16,Emprunts!$AB$16,Emprunts!$AD$16,Emprunts!$AF$16,Emprunts!$AH$16,Emprunts!$AJ$16,Emprunts!$AL$16,Emprunts!$AN$16,Emprunts!$AP$16,Emprunts!$AR$16)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1357225.8547237345</c:v>
                      </c:pt>
                      <c:pt idx="1" formatCode="_-* #\ ##0_-;\-* #\ ##0_-;_-* &quot;-&quot;??_-;_-@_-">
                        <c:v>1310489.8714441014</c:v>
                      </c:pt>
                      <c:pt idx="2" formatCode="_-* #\ ##0_-;\-* #\ ##0_-;_-* &quot;-&quot;??_-;_-@_-">
                        <c:v>1261397.0218875192</c:v>
                      </c:pt>
                      <c:pt idx="3" formatCode="_-* #\ ##0_-;\-* #\ ##0_-;_-* &quot;-&quot;??_-;_-@_-">
                        <c:v>1206315.7498224692</c:v>
                      </c:pt>
                      <c:pt idx="4" formatCode="_-* #\ ##0_-;\-* #\ ##0_-;_-* &quot;-&quot;??_-;_-@_-">
                        <c:v>1147256.7632431318</c:v>
                      </c:pt>
                      <c:pt idx="5" formatCode="_-* #\ ##0_-;\-* #\ ##0_-;_-* &quot;-&quot;??_-;_-@_-">
                        <c:v>1085219</c:v>
                      </c:pt>
                      <c:pt idx="6" formatCode="_-* #\ ##0_-;\-* #\ ##0_-;_-* &quot;-&quot;??_-;_-@_-">
                        <c:v>1020054</c:v>
                      </c:pt>
                      <c:pt idx="7" formatCode="_-* #\ ##0_-;\-* #\ ##0_-;_-* &quot;-&quot;??_-;_-@_-">
                        <c:v>951602</c:v>
                      </c:pt>
                      <c:pt idx="8" formatCode="_-* #\ ##0_-;\-* #\ ##0_-;_-* &quot;-&quot;??_-;_-@_-">
                        <c:v>879698</c:v>
                      </c:pt>
                      <c:pt idx="9" formatCode="_-* #\ ##0_-;\-* #\ ##0_-;_-* &quot;-&quot;??_-;_-@_-">
                        <c:v>804167</c:v>
                      </c:pt>
                      <c:pt idx="10" formatCode="_-* #\ ##0_-;\-* #\ ##0_-;_-* &quot;-&quot;??_-;_-@_-">
                        <c:v>724828</c:v>
                      </c:pt>
                      <c:pt idx="11" formatCode="_-* #\ ##0_-;\-* #\ ##0_-;_-* &quot;-&quot;??_-;_-@_-">
                        <c:v>641488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CC8-492F-9275-2D620DD17B80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Emprunts!$B$17:$D$17</c15:sqref>
                        </c15:formulaRef>
                      </c:ext>
                    </c:extLst>
                    <c:strCache>
                      <c:ptCount val="3"/>
                      <c:pt idx="0">
                        <c:v> CE_SCI CHATOU </c:v>
                      </c:pt>
                      <c:pt idx="1">
                        <c:v>9-GJB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Emprunts!$E$17:$AR$17</c15:sqref>
                        </c15:fullRef>
                        <c15:formulaRef>
                          <c15:sqref>(Emprunts!$E$17:$F$17,Emprunts!$J$17:$T$17,Emprunts!$V$17,Emprunts!$X$17,Emprunts!$Z$17,Emprunts!$AB$17,Emprunts!$AD$17,Emprunts!$AF$17,Emprunts!$AH$17,Emprunts!$AJ$17,Emprunts!$AL$17,Emprunts!$AN$17,Emprunts!$AP$17,Emprunts!$AR$17)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1092667.847572482</c:v>
                      </c:pt>
                      <c:pt idx="1" formatCode="_-* #\ ##0_-;\-* #\ ##0_-;_-* &quot;-&quot;??_-;_-@_-">
                        <c:v>1032371.616965641</c:v>
                      </c:pt>
                      <c:pt idx="2" formatCode="_-* #\ ##0_-;\-* #\ ##0_-;_-* &quot;-&quot;??_-;_-@_-">
                        <c:v>968927.36984069122</c:v>
                      </c:pt>
                      <c:pt idx="3" formatCode="_-* #\ ##0_-;\-* #\ ##0_-;_-* &quot;-&quot;??_-;_-@_-">
                        <c:v>902170.75084907142</c:v>
                      </c:pt>
                      <c:pt idx="4" formatCode="_-* #\ ##0_-;\-* #\ ##0_-;_-* &quot;-&quot;??_-;_-@_-">
                        <c:v>831928.82378489524</c:v>
                      </c:pt>
                      <c:pt idx="5" formatCode="_-* #\ ##0_-;\-* #\ ##0_-;_-* &quot;-&quot;??_-;_-@_-">
                        <c:v>758020</c:v>
                      </c:pt>
                      <c:pt idx="6" formatCode="_-* #\ ##0_-;\-* #\ ##0_-;_-* &quot;-&quot;??_-;_-@_-">
                        <c:v>680252</c:v>
                      </c:pt>
                      <c:pt idx="7" formatCode="_-* #\ ##0_-;\-* #\ ##0_-;_-* &quot;-&quot;??_-;_-@_-">
                        <c:v>598424</c:v>
                      </c:pt>
                      <c:pt idx="8" formatCode="_-* #\ ##0_-;\-* #\ ##0_-;_-* &quot;-&quot;??_-;_-@_-">
                        <c:v>512323</c:v>
                      </c:pt>
                      <c:pt idx="9" formatCode="_-* #\ ##0_-;\-* #\ ##0_-;_-* &quot;-&quot;??_-;_-@_-">
                        <c:v>421728</c:v>
                      </c:pt>
                      <c:pt idx="10" formatCode="_-* #\ ##0_-;\-* #\ ##0_-;_-* &quot;-&quot;??_-;_-@_-">
                        <c:v>326402</c:v>
                      </c:pt>
                      <c:pt idx="11" formatCode="_-* #\ ##0_-;\-* #\ ##0_-;_-* &quot;-&quot;??_-;_-@_-">
                        <c:v>226100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CC8-492F-9275-2D620DD17B80}"/>
                  </c:ext>
                </c:extLst>
              </c15:ser>
            </c15:filteredAreaSeries>
            <c15:filteredArea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Emprunts!$B$18:$D$18</c15:sqref>
                        </c15:formulaRef>
                      </c:ext>
                    </c:extLst>
                    <c:strCache>
                      <c:ptCount val="3"/>
                      <c:pt idx="0">
                        <c:v> LCL_SCI PLESSIS </c:v>
                      </c:pt>
                      <c:pt idx="1">
                        <c:v>9-GJB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Emprunts!$E$18:$AR$18</c15:sqref>
                        </c15:fullRef>
                        <c15:formulaRef>
                          <c15:sqref>(Emprunts!$E$18:$F$18,Emprunts!$J$18:$T$18,Emprunts!$V$18,Emprunts!$X$18,Emprunts!$Z$18,Emprunts!$AB$18,Emprunts!$AD$18,Emprunts!$AF$18,Emprunts!$AH$18,Emprunts!$AJ$18,Emprunts!$AL$18,Emprunts!$AN$18,Emprunts!$AP$18,Emprunts!$AR$18)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686767.34036551241</c:v>
                      </c:pt>
                      <c:pt idx="1" formatCode="_-* #\ ##0_-;\-* #\ ##0_-;_-* &quot;-&quot;??_-;_-@_-">
                        <c:v>649186.76537886821</c:v>
                      </c:pt>
                      <c:pt idx="2" formatCode="_-* #\ ##0_-;\-* #\ ##0_-;_-* &quot;-&quot;??_-;_-@_-">
                        <c:v>609840.56729671638</c:v>
                      </c:pt>
                      <c:pt idx="3" formatCode="_-* #\ ##0_-;\-* #\ ##0_-;_-* &quot;-&quot;??_-;_-@_-">
                        <c:v>568645.79302649479</c:v>
                      </c:pt>
                      <c:pt idx="4" formatCode="_-* #\ ##0_-;\-* #\ ##0_-;_-* &quot;-&quot;??_-;_-@_-">
                        <c:v>525515.59214580816</c:v>
                      </c:pt>
                      <c:pt idx="5" formatCode="_-* #\ ##0_-;\-* #\ ##0_-;_-* &quot;-&quot;??_-;_-@_-">
                        <c:v>480359</c:v>
                      </c:pt>
                      <c:pt idx="6" formatCode="_-* #\ ##0_-;\-* #\ ##0_-;_-* &quot;-&quot;??_-;_-@_-">
                        <c:v>433081</c:v>
                      </c:pt>
                      <c:pt idx="7" formatCode="_-* #\ ##0_-;\-* #\ ##0_-;_-* &quot;-&quot;??_-;_-@_-">
                        <c:v>383582</c:v>
                      </c:pt>
                      <c:pt idx="8" formatCode="_-* #\ ##0_-;\-* #\ ##0_-;_-* &quot;-&quot;??_-;_-@_-">
                        <c:v>331757</c:v>
                      </c:pt>
                      <c:pt idx="9" formatCode="_-* #\ ##0_-;\-* #\ ##0_-;_-* &quot;-&quot;??_-;_-@_-">
                        <c:v>277497</c:v>
                      </c:pt>
                      <c:pt idx="10" formatCode="_-* #\ ##0_-;\-* #\ ##0_-;_-* &quot;-&quot;??_-;_-@_-">
                        <c:v>220688</c:v>
                      </c:pt>
                      <c:pt idx="11" formatCode="_-* #\ ##0_-;\-* #\ ##0_-;_-* &quot;-&quot;??_-;_-@_-">
                        <c:v>161209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CC8-492F-9275-2D620DD17B80}"/>
                  </c:ext>
                </c:extLst>
              </c15:ser>
            </c15:filteredAreaSeries>
            <c15:filteredArea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Emprunts!$B$19:$D$19</c15:sqref>
                        </c15:formulaRef>
                      </c:ext>
                    </c:extLst>
                    <c:strCache>
                      <c:ptCount val="3"/>
                      <c:pt idx="0">
                        <c:v> SG_SCI ALFORTVILLE </c:v>
                      </c:pt>
                      <c:pt idx="1">
                        <c:v>9-CHENNEVIERES</c:v>
                      </c:pt>
                      <c:pt idx="2">
                        <c:v> SG 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Emprunts!$E$19:$AR$19</c15:sqref>
                        </c15:fullRef>
                        <c15:formulaRef>
                          <c15:sqref>(Emprunts!$E$19:$F$19,Emprunts!$J$19:$T$19,Emprunts!$V$19,Emprunts!$X$19,Emprunts!$Z$19,Emprunts!$AB$19,Emprunts!$AD$19,Emprunts!$AF$19,Emprunts!$AH$19,Emprunts!$AJ$19,Emprunts!$AL$19,Emprunts!$AN$19,Emprunts!$AP$19,Emprunts!$AR$19)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792256.82392726513</c:v>
                      </c:pt>
                      <c:pt idx="1" formatCode="_-* #\ ##0_-;\-* #\ ##0_-;_-* &quot;-&quot;??_-;_-@_-">
                        <c:v>746061.55869565415</c:v>
                      </c:pt>
                      <c:pt idx="2" formatCode="_-* #\ ##0_-;\-* #\ ##0_-;_-* &quot;-&quot;??_-;_-@_-">
                        <c:v>697729.64799698698</c:v>
                      </c:pt>
                      <c:pt idx="3" formatCode="_-* #\ ##0_-;\-* #\ ##0_-;_-* &quot;-&quot;??_-;_-@_-">
                        <c:v>647162.26668481238</c:v>
                      </c:pt>
                      <c:pt idx="4" formatCode="_-* #\ ##0_-;\-* #\ ##0_-;_-* &quot;-&quot;??_-;_-@_-">
                        <c:v>594256.01870481262</c:v>
                      </c:pt>
                      <c:pt idx="5" formatCode="_-* #\ ##0_-;\-* #\ ##0_-;_-* &quot;-&quot;??_-;_-@_-">
                        <c:v>538903</c:v>
                      </c:pt>
                      <c:pt idx="6" formatCode="_-* #\ ##0_-;\-* #\ ##0_-;_-* &quot;-&quot;??_-;_-@_-">
                        <c:v>480989</c:v>
                      </c:pt>
                      <c:pt idx="7" formatCode="_-* #\ ##0_-;\-* #\ ##0_-;_-* &quot;-&quot;??_-;_-@_-">
                        <c:v>420397</c:v>
                      </c:pt>
                      <c:pt idx="8" formatCode="_-* #\ ##0_-;\-* #\ ##0_-;_-* &quot;-&quot;??_-;_-@_-">
                        <c:v>357002</c:v>
                      </c:pt>
                      <c:pt idx="9" formatCode="_-* #\ ##0_-;\-* #\ ##0_-;_-* &quot;-&quot;??_-;_-@_-">
                        <c:v>290675</c:v>
                      </c:pt>
                      <c:pt idx="10" formatCode="_-* #\ ##0_-;\-* #\ ##0_-;_-* &quot;-&quot;??_-;_-@_-">
                        <c:v>221281</c:v>
                      </c:pt>
                      <c:pt idx="11" formatCode="_-* #\ ##0_-;\-* #\ ##0_-;_-* &quot;-&quot;??_-;_-@_-">
                        <c:v>148677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CC8-492F-9275-2D620DD17B80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Emprunts!$B$20:$D$20</c15:sqref>
                        </c15:formulaRef>
                      </c:ext>
                    </c:extLst>
                    <c:strCache>
                      <c:ptCount val="3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Emprunts!$E$20:$AR$20</c15:sqref>
                        </c15:fullRef>
                        <c15:formulaRef>
                          <c15:sqref>(Emprunts!$E$20:$F$20,Emprunts!$J$20:$T$20,Emprunts!$V$20,Emprunts!$X$20,Emprunts!$Z$20,Emprunts!$AB$20,Emprunts!$AD$20,Emprunts!$AF$20,Emprunts!$AH$20,Emprunts!$AJ$20,Emprunts!$AL$20,Emprunts!$AN$20,Emprunts!$AP$20,Emprunts!$AR$20)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394960.84692272329</c:v>
                      </c:pt>
                      <c:pt idx="1" formatCode="_-* #\ ##0_-;\-* #\ ##0_-;_-* &quot;-&quot;??_-;_-@_-">
                        <c:v>264879.17571638949</c:v>
                      </c:pt>
                      <c:pt idx="2" formatCode="_-* #\ ##0_-;\-* #\ ##0_-;_-* &quot;-&quot;??_-;_-@_-">
                        <c:v>133231.84151541631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CC8-492F-9275-2D620DD17B80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Emprunts!$B$21:$D$21</c15:sqref>
                        </c15:formulaRef>
                      </c:ext>
                    </c:extLst>
                    <c:strCache>
                      <c:ptCount val="3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Emprunts!$E$21:$AR$21</c15:sqref>
                        </c15:fullRef>
                        <c15:formulaRef>
                          <c15:sqref>(Emprunts!$E$21:$F$21,Emprunts!$J$21:$T$21,Emprunts!$V$21,Emprunts!$X$21,Emprunts!$Z$21,Emprunts!$AB$21,Emprunts!$AD$21,Emprunts!$AF$21,Emprunts!$AH$21,Emprunts!$AJ$21,Emprunts!$AL$21,Emprunts!$AN$21,Emprunts!$AP$21,Emprunts!$AR$21)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394960.84692272329</c:v>
                      </c:pt>
                      <c:pt idx="1" formatCode="_-* #\ ##0_-;\-* #\ ##0_-;_-* &quot;-&quot;??_-;_-@_-">
                        <c:v>264879.17571638949</c:v>
                      </c:pt>
                      <c:pt idx="2" formatCode="_-* #\ ##0_-;\-* #\ ##0_-;_-* &quot;-&quot;??_-;_-@_-">
                        <c:v>133231.84151541631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CC8-492F-9275-2D620DD17B80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Emprunts!$B$22:$D$22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Emprunts!$E$22:$AR$22</c15:sqref>
                        </c15:fullRef>
                        <c15:formulaRef>
                          <c15:sqref>(Emprunts!$E$22:$F$22,Emprunts!$J$22:$T$22,Emprunts!$V$22,Emprunts!$X$22,Emprunts!$Z$22,Emprunts!$AB$22,Emprunts!$AD$22,Emprunts!$AF$22,Emprunts!$AH$22,Emprunts!$AJ$22,Emprunts!$AL$22,Emprunts!$AN$22,Emprunts!$AP$22,Emprunts!$AR$22)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113285.78592867678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CC8-492F-9275-2D620DD17B80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Emprunts!$B$23:$D$23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Emprunts!$E$23:$AR$23</c15:sqref>
                        </c15:fullRef>
                        <c15:formulaRef>
                          <c15:sqref>(Emprunts!$E$23:$F$23,Emprunts!$J$23:$T$23,Emprunts!$V$23,Emprunts!$X$23,Emprunts!$Z$23,Emprunts!$AB$23,Emprunts!$AD$23,Emprunts!$AF$23,Emprunts!$AH$23,Emprunts!$AJ$23,Emprunts!$AL$23,Emprunts!$AN$23,Emprunts!$AP$23,Emprunts!$AR$23)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113285.78592867678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CC8-492F-9275-2D620DD17B80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Emprunts!$B$24:$D$24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Emprunts!$E$24:$AR$24</c15:sqref>
                        </c15:fullRef>
                        <c15:formulaRef>
                          <c15:sqref>(Emprunts!$E$24:$F$24,Emprunts!$J$24:$T$24,Emprunts!$V$24,Emprunts!$X$24,Emprunts!$Z$24,Emprunts!$AB$24,Emprunts!$AD$24,Emprunts!$AF$24,Emprunts!$AH$24,Emprunts!$AJ$24,Emprunts!$AL$24,Emprunts!$AN$24,Emprunts!$AP$24,Emprunts!$AR$24)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2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CC8-492F-9275-2D620DD17B80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4"/>
          <c:order val="4"/>
          <c:tx>
            <c:strRef>
              <c:f>Emprunts!$B$9:$D$9</c:f>
              <c:strCache>
                <c:ptCount val="3"/>
                <c:pt idx="0">
                  <c:v> BNP_SCI LEGRAND </c:v>
                </c:pt>
                <c:pt idx="1">
                  <c:v>9-LEGRAND</c:v>
                </c:pt>
                <c:pt idx="2">
                  <c:v> BNP 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Emprunts!$E$9:$AR$9</c15:sqref>
                  </c15:fullRef>
                </c:ext>
              </c:extLst>
              <c:f>(Emprunts!$E$9:$F$9,Emprunts!$J$9:$T$9,Emprunts!$V$9,Emprunts!$X$9,Emprunts!$Z$9,Emprunts!$AB$9,Emprunts!$AD$9,Emprunts!$AF$9,Emprunts!$AH$9,Emprunts!$AJ$9,Emprunts!$AL$9,Emprunts!$AN$9,Emprunts!$AP$9,Emprunts!$AR$9)</c:f>
              <c:numCache>
                <c:formatCode>0.00%</c:formatCode>
                <c:ptCount val="12"/>
                <c:pt idx="0" formatCode="_-* #\ ##0_-;\-* #\ ##0_-;_-* &quot;-&quot;??_-;_-@_-">
                  <c:v>5217.0699999996341</c:v>
                </c:pt>
                <c:pt idx="1" formatCode="_-* #\ ##0_-;\-* #\ ##0_-;_-* &quot;-&quot;??_-;_-@_-">
                  <c:v>0</c:v>
                </c:pt>
                <c:pt idx="2" formatCode="_-* #\ ##0_-;\-* #\ ##0_-;_-* &quot;-&quot;??_-;_-@_-">
                  <c:v>0</c:v>
                </c:pt>
                <c:pt idx="3" formatCode="_-* #\ ##0_-;\-* #\ ##0_-;_-* &quot;-&quot;??_-;_-@_-">
                  <c:v>0</c:v>
                </c:pt>
                <c:pt idx="4" formatCode="_-* #\ ##0_-;\-* #\ ##0_-;_-* &quot;-&quot;??_-;_-@_-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904F-4FA9-B7B0-2418CCBB4FD6}"/>
            </c:ext>
          </c:extLst>
        </c:ser>
        <c:ser>
          <c:idx val="7"/>
          <c:order val="7"/>
          <c:tx>
            <c:strRef>
              <c:f>Emprunts!$B$12:$D$12</c:f>
              <c:strCache>
                <c:ptCount val="3"/>
                <c:pt idx="0">
                  <c:v> SG_SCI LEGRAND </c:v>
                </c:pt>
                <c:pt idx="1">
                  <c:v>9-LEGRAND</c:v>
                </c:pt>
                <c:pt idx="2">
                  <c:v> SG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Emprunts!$E$12:$AR$12</c15:sqref>
                  </c15:fullRef>
                </c:ext>
              </c:extLst>
              <c:f>(Emprunts!$E$12:$F$12,Emprunts!$J$12:$T$12,Emprunts!$V$12,Emprunts!$X$12,Emprunts!$Z$12,Emprunts!$AB$12,Emprunts!$AD$12,Emprunts!$AF$12,Emprunts!$AH$12,Emprunts!$AJ$12,Emprunts!$AL$12,Emprunts!$AN$12,Emprunts!$AP$12,Emprunts!$AR$12)</c:f>
              <c:numCache>
                <c:formatCode>0.00%</c:formatCode>
                <c:ptCount val="12"/>
                <c:pt idx="0" formatCode="_-* #\ ##0_-;\-* #\ ##0_-;_-* &quot;-&quot;??_-;_-@_-">
                  <c:v>421888.90549874143</c:v>
                </c:pt>
                <c:pt idx="1" formatCode="_-* #\ ##0_-;\-* #\ ##0_-;_-* &quot;-&quot;??_-;_-@_-">
                  <c:v>369652.16752447974</c:v>
                </c:pt>
                <c:pt idx="2" formatCode="_-* #\ ##0_-;\-* #\ ##0_-;_-* &quot;-&quot;??_-;_-@_-">
                  <c:v>316419.55787956738</c:v>
                </c:pt>
                <c:pt idx="3" formatCode="_-* #\ ##0_-;\-* #\ ##0_-;_-* &quot;-&quot;??_-;_-@_-">
                  <c:v>262172.09068504494</c:v>
                </c:pt>
                <c:pt idx="4" formatCode="_-* #\ ##0_-;\-* #\ ##0_-;_-* &quot;-&quot;??_-;_-@_-">
                  <c:v>206890.41810407222</c:v>
                </c:pt>
                <c:pt idx="5" formatCode="_-* #\ ##0_-;\-* #\ ##0_-;_-* &quot;-&quot;??_-;_-@_-">
                  <c:v>150155</c:v>
                </c:pt>
                <c:pt idx="6" formatCode="_-* #\ ##0_-;\-* #\ ##0_-;_-* &quot;-&quot;??_-;_-@_-">
                  <c:v>93145</c:v>
                </c:pt>
                <c:pt idx="7" formatCode="_-* #\ ##0_-;\-* #\ ##0_-;_-* &quot;-&quot;??_-;_-@_-">
                  <c:v>34641</c:v>
                </c:pt>
                <c:pt idx="8" formatCode="_-* #\ ##0_-;\-* #\ ##0_-;_-* &quot;-&quot;??_-;_-@_-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904F-4FA9-B7B0-2418CCBB4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Emprunts!$B$5:$D$5</c15:sqref>
                        </c15:formulaRef>
                      </c:ext>
                    </c:extLst>
                    <c:strCache>
                      <c:ptCount val="3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Emprunts!$E$5:$AR$5</c15:sqref>
                        </c15:fullRef>
                        <c15:formulaRef>
                          <c15:sqref>(Emprunts!$E$5:$F$5,Emprunts!$J$5:$T$5,Emprunts!$V$5,Emprunts!$X$5,Emprunts!$Z$5,Emprunts!$AB$5,Emprunts!$AD$5,Emprunts!$AF$5,Emprunts!$AH$5,Emprunts!$AJ$5,Emprunts!$AL$5,Emprunts!$AN$5,Emprunts!$AP$5,Emprunts!$AR$5)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2.8812288073822856E-3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04F-4FA9-B7B0-2418CCBB4FD6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Emprunts!$B$6:$D$6</c15:sqref>
                        </c15:formulaRef>
                      </c:ext>
                    </c:extLst>
                    <c:strCache>
                      <c:ptCount val="3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Emprunts!$E$6:$AR$6</c15:sqref>
                        </c15:fullRef>
                        <c15:formulaRef>
                          <c15:sqref>(Emprunts!$E$6:$F$6,Emprunts!$J$6:$T$6,Emprunts!$V$6,Emprunts!$X$6,Emprunts!$Z$6,Emprunts!$AB$6,Emprunts!$AD$6,Emprunts!$AF$6,Emprunts!$AH$6,Emprunts!$AJ$6,Emprunts!$AL$6,Emprunts!$AN$6,Emprunts!$AP$6,Emprunts!$AR$6)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305556.77369127376</c:v>
                      </c:pt>
                      <c:pt idx="1" formatCode="_-* #\ ##0_-;\-* #\ ##0_-;_-* &quot;-&quot;??_-;_-@_-">
                        <c:v>277076.47760202223</c:v>
                      </c:pt>
                      <c:pt idx="2" formatCode="_-* #\ ##0_-;\-* #\ ##0_-;_-* &quot;-&quot;??_-;_-@_-">
                        <c:v>248209.30957698025</c:v>
                      </c:pt>
                      <c:pt idx="3" formatCode="_-* #\ ##0_-;\-* #\ ##0_-;_-* &quot;-&quot;??_-;_-@_-">
                        <c:v>218950.01440762632</c:v>
                      </c:pt>
                      <c:pt idx="4" formatCode="_-* #\ ##0_-;\-* #\ ##0_-;_-* &quot;-&quot;??_-;_-@_-">
                        <c:v>189293.2654994996</c:v>
                      </c:pt>
                      <c:pt idx="5" formatCode="_-* #\ ##0_-;\-* #\ ##0_-;_-* &quot;-&quot;??_-;_-@_-">
                        <c:v>159234</c:v>
                      </c:pt>
                      <c:pt idx="6" formatCode="_-* #\ ##0_-;\-* #\ ##0_-;_-* &quot;-&quot;??_-;_-@_-">
                        <c:v>128766</c:v>
                      </c:pt>
                      <c:pt idx="7" formatCode="_-* #\ ##0_-;\-* #\ ##0_-;_-* &quot;-&quot;??_-;_-@_-">
                        <c:v>97884</c:v>
                      </c:pt>
                      <c:pt idx="8" formatCode="_-* #\ ##0_-;\-* #\ ##0_-;_-* &quot;-&quot;??_-;_-@_-">
                        <c:v>66583</c:v>
                      </c:pt>
                      <c:pt idx="9" formatCode="_-* #\ ##0_-;\-* #\ ##0_-;_-* &quot;-&quot;??_-;_-@_-">
                        <c:v>34856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04F-4FA9-B7B0-2418CCBB4FD6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Emprunts!$B$7:$D$7</c15:sqref>
                        </c15:formulaRef>
                      </c:ext>
                    </c:extLst>
                    <c:strCache>
                      <c:ptCount val="3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Emprunts!$E$7:$AR$7</c15:sqref>
                        </c15:fullRef>
                        <c15:formulaRef>
                          <c15:sqref>(Emprunts!$E$7:$F$7,Emprunts!$J$7:$T$7,Emprunts!$V$7,Emprunts!$X$7,Emprunts!$Z$7,Emprunts!$AB$7,Emprunts!$AD$7,Emprunts!$AF$7,Emprunts!$AH$7,Emprunts!$AJ$7,Emprunts!$AL$7,Emprunts!$AN$7,Emprunts!$AP$7,Emprunts!$AR$7)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1175368.7829993453</c:v>
                      </c:pt>
                      <c:pt idx="1" formatCode="_-* #\ ##0_-;\-* #\ ##0_-;_-* &quot;-&quot;??_-;_-@_-">
                        <c:v>1070464.9101257892</c:v>
                      </c:pt>
                      <c:pt idx="2" formatCode="_-* #\ ##0_-;\-* #\ ##0_-;_-* &quot;-&quot;??_-;_-@_-">
                        <c:v>964136.03927316284</c:v>
                      </c:pt>
                      <c:pt idx="3" formatCode="_-* #\ ##0_-;\-* #\ ##0_-;_-* &quot;-&quot;??_-;_-@_-">
                        <c:v>856362.81348938483</c:v>
                      </c:pt>
                      <c:pt idx="4" formatCode="_-* #\ ##0_-;\-* #\ ##0_-;_-* &quot;-&quot;??_-;_-@_-">
                        <c:v>747125.61288053193</c:v>
                      </c:pt>
                      <c:pt idx="5" formatCode="_-* #\ ##0_-;\-* #\ ##0_-;_-* &quot;-&quot;??_-;_-@_-">
                        <c:v>636405</c:v>
                      </c:pt>
                      <c:pt idx="6" formatCode="_-* #\ ##0_-;\-* #\ ##0_-;_-* &quot;-&quot;??_-;_-@_-">
                        <c:v>524179</c:v>
                      </c:pt>
                      <c:pt idx="7" formatCode="_-* #\ ##0_-;\-* #\ ##0_-;_-* &quot;-&quot;??_-;_-@_-">
                        <c:v>410430</c:v>
                      </c:pt>
                      <c:pt idx="8" formatCode="_-* #\ ##0_-;\-* #\ ##0_-;_-* &quot;-&quot;??_-;_-@_-">
                        <c:v>295135</c:v>
                      </c:pt>
                      <c:pt idx="9" formatCode="_-* #\ ##0_-;\-* #\ ##0_-;_-* &quot;-&quot;??_-;_-@_-">
                        <c:v>178274</c:v>
                      </c:pt>
                      <c:pt idx="10" formatCode="_-* #\ ##0_-;\-* #\ ##0_-;_-* &quot;-&quot;??_-;_-@_-">
                        <c:v>59826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04F-4FA9-B7B0-2418CCBB4FD6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Emprunts!$B$8:$D$8</c15:sqref>
                        </c15:formulaRef>
                      </c:ext>
                    </c:extLst>
                    <c:strCache>
                      <c:ptCount val="3"/>
                      <c:pt idx="0">
                        <c:v> SG_SCI 34 HAUTE </c:v>
                      </c:pt>
                      <c:pt idx="1">
                        <c:v>9-HAUTE</c:v>
                      </c:pt>
                      <c:pt idx="2">
                        <c:v> SG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Emprunts!$E$8:$AR$8</c15:sqref>
                        </c15:fullRef>
                        <c15:formulaRef>
                          <c15:sqref>(Emprunts!$E$8:$F$8,Emprunts!$J$8:$T$8,Emprunts!$V$8,Emprunts!$X$8,Emprunts!$Z$8,Emprunts!$AB$8,Emprunts!$AD$8,Emprunts!$AF$8,Emprunts!$AH$8,Emprunts!$AJ$8,Emprunts!$AL$8,Emprunts!$AN$8,Emprunts!$AP$8,Emprunts!$AR$8)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308928.84723423043</c:v>
                      </c:pt>
                      <c:pt idx="1" formatCode="_-* #\ ##0_-;\-* #\ ##0_-;_-* &quot;-&quot;??_-;_-@_-">
                        <c:v>262584.23018713825</c:v>
                      </c:pt>
                      <c:pt idx="2" formatCode="_-* #\ ##0_-;\-* #\ ##0_-;_-* &quot;-&quot;??_-;_-@_-">
                        <c:v>214576.91834340864</c:v>
                      </c:pt>
                      <c:pt idx="3" formatCode="_-* #\ ##0_-;\-* #\ ##0_-;_-* &quot;-&quot;??_-;_-@_-">
                        <c:v>164847.25959751342</c:v>
                      </c:pt>
                      <c:pt idx="4" formatCode="_-* #\ ##0_-;\-* #\ ##0_-;_-* &quot;-&quot;??_-;_-@_-">
                        <c:v>113333.46171953013</c:v>
                      </c:pt>
                      <c:pt idx="5" formatCode="_-* #\ ##0_-;\-* #\ ##0_-;_-* &quot;-&quot;??_-;_-@_-">
                        <c:v>59972</c:v>
                      </c:pt>
                      <c:pt idx="6" formatCode="_-* #\ ##0_-;\-* #\ ##0_-;_-* &quot;-&quot;??_-;_-@_-">
                        <c:v>4965</c:v>
                      </c:pt>
                      <c:pt idx="7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04F-4FA9-B7B0-2418CCBB4FD6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Emprunts!$B$10:$D$10</c15:sqref>
                        </c15:formulaRef>
                      </c:ext>
                    </c:extLst>
                    <c:strCache>
                      <c:ptCount val="3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Emprunts!$E$10:$AR$10</c15:sqref>
                        </c15:fullRef>
                        <c15:formulaRef>
                          <c15:sqref>(Emprunts!$E$10:$F$10,Emprunts!$J$10:$T$10,Emprunts!$V$10,Emprunts!$X$10,Emprunts!$Z$10,Emprunts!$AB$10,Emprunts!$AD$10,Emprunts!$AF$10,Emprunts!$AH$10,Emprunts!$AJ$10,Emprunts!$AL$10,Emprunts!$AN$10,Emprunts!$AP$10,Emprunts!$AR$10)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0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04F-4FA9-B7B0-2418CCBB4FD6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Emprunts!$B$11:$D$11</c15:sqref>
                        </c15:formulaRef>
                      </c:ext>
                    </c:extLst>
                    <c:strCache>
                      <c:ptCount val="3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Emprunts!$E$11:$AR$11</c15:sqref>
                        </c15:fullRef>
                        <c15:formulaRef>
                          <c15:sqref>(Emprunts!$E$11:$F$11,Emprunts!$J$11:$T$11,Emprunts!$V$11,Emprunts!$X$11,Emprunts!$Z$11,Emprunts!$AB$11,Emprunts!$AD$11,Emprunts!$AF$11,Emprunts!$AH$11,Emprunts!$AJ$11,Emprunts!$AL$11,Emprunts!$AN$11,Emprunts!$AP$11,Emprunts!$AR$11)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0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04F-4FA9-B7B0-2418CCBB4FD6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Emprunts!$B$13:$D$13</c15:sqref>
                        </c15:formulaRef>
                      </c:ext>
                    </c:extLst>
                    <c:strCache>
                      <c:ptCount val="3"/>
                      <c:pt idx="0">
                        <c:v> CA_SCI ORIENT </c:v>
                      </c:pt>
                      <c:pt idx="1">
                        <c:v>9-ORIENT</c:v>
                      </c:pt>
                      <c:pt idx="2">
                        <c:v> CA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Emprunts!$E$13:$AR$13</c15:sqref>
                        </c15:fullRef>
                        <c15:formulaRef>
                          <c15:sqref>(Emprunts!$E$13:$F$13,Emprunts!$J$13:$T$13,Emprunts!$V$13,Emprunts!$X$13,Emprunts!$Z$13,Emprunts!$AB$13,Emprunts!$AD$13,Emprunts!$AF$13,Emprunts!$AH$13,Emprunts!$AJ$13,Emprunts!$AL$13,Emprunts!$AN$13,Emprunts!$AP$13,Emprunts!$AR$13)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553109.81484609994</c:v>
                      </c:pt>
                      <c:pt idx="1" formatCode="_-* #\ ##0_-;\-* #\ ##0_-;_-* &quot;-&quot;??_-;_-@_-">
                        <c:v>511333.5249373964</c:v>
                      </c:pt>
                      <c:pt idx="2" formatCode="_-* #\ ##0_-;\-* #\ ##0_-;_-* &quot;-&quot;??_-;_-@_-">
                        <c:v>468968.59943358751</c:v>
                      </c:pt>
                      <c:pt idx="3" formatCode="_-* #\ ##0_-;\-* #\ ##0_-;_-* &quot;-&quot;??_-;_-@_-">
                        <c:v>426006.74435106228</c:v>
                      </c:pt>
                      <c:pt idx="4" formatCode="_-* #\ ##0_-;\-* #\ ##0_-;_-* &quot;-&quot;??_-;_-@_-">
                        <c:v>382439.54884245817</c:v>
                      </c:pt>
                      <c:pt idx="5" formatCode="_-* #\ ##0_-;\-* #\ ##0_-;_-* &quot;-&quot;??_-;_-@_-">
                        <c:v>338258</c:v>
                      </c:pt>
                      <c:pt idx="6" formatCode="_-* #\ ##0_-;\-* #\ ##0_-;_-* &quot;-&quot;??_-;_-@_-">
                        <c:v>293455</c:v>
                      </c:pt>
                      <c:pt idx="7" formatCode="_-* #\ ##0_-;\-* #\ ##0_-;_-* &quot;-&quot;??_-;_-@_-">
                        <c:v>248020</c:v>
                      </c:pt>
                      <c:pt idx="8" formatCode="_-* #\ ##0_-;\-* #\ ##0_-;_-* &quot;-&quot;??_-;_-@_-">
                        <c:v>201945</c:v>
                      </c:pt>
                      <c:pt idx="9" formatCode="_-* #\ ##0_-;\-* #\ ##0_-;_-* &quot;-&quot;??_-;_-@_-">
                        <c:v>155221</c:v>
                      </c:pt>
                      <c:pt idx="10" formatCode="_-* #\ ##0_-;\-* #\ ##0_-;_-* &quot;-&quot;??_-;_-@_-">
                        <c:v>107838</c:v>
                      </c:pt>
                      <c:pt idx="11" formatCode="_-* #\ ##0_-;\-* #\ ##0_-;_-* &quot;-&quot;??_-;_-@_-">
                        <c:v>59788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04F-4FA9-B7B0-2418CCBB4FD6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Emprunts!$B$14:$D$14</c15:sqref>
                        </c15:formulaRef>
                      </c:ext>
                    </c:extLst>
                    <c:strCache>
                      <c:ptCount val="3"/>
                      <c:pt idx="0">
                        <c:v> LCL_SCI ORIENT </c:v>
                      </c:pt>
                      <c:pt idx="1">
                        <c:v>9-ORIENT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Emprunts!$E$14:$AR$14</c15:sqref>
                        </c15:fullRef>
                        <c15:formulaRef>
                          <c15:sqref>(Emprunts!$E$14:$F$14,Emprunts!$J$14:$T$14,Emprunts!$V$14,Emprunts!$X$14,Emprunts!$Z$14,Emprunts!$AB$14,Emprunts!$AD$14,Emprunts!$AF$14,Emprunts!$AH$14,Emprunts!$AJ$14,Emprunts!$AL$14,Emprunts!$AN$14,Emprunts!$AP$14,Emprunts!$AR$14)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309355.54274141247</c:v>
                      </c:pt>
                      <c:pt idx="1" formatCode="_-* #\ ##0_-;\-* #\ ##0_-;_-* &quot;-&quot;??_-;_-@_-">
                        <c:v>285116.7821471584</c:v>
                      </c:pt>
                      <c:pt idx="2" formatCode="_-* #\ ##0_-;\-* #\ ##0_-;_-* &quot;-&quot;??_-;_-@_-">
                        <c:v>260438.10634809287</c:v>
                      </c:pt>
                      <c:pt idx="3" formatCode="_-* #\ ##0_-;\-* #\ ##0_-;_-* &quot;-&quot;??_-;_-@_-">
                        <c:v>235311.53121537936</c:v>
                      </c:pt>
                      <c:pt idx="4" formatCode="_-* #\ ##0_-;\-* #\ ##0_-;_-* &quot;-&quot;??_-;_-@_-">
                        <c:v>209728.9277142708</c:v>
                      </c:pt>
                      <c:pt idx="5" formatCode="_-* #\ ##0_-;\-* #\ ##0_-;_-* &quot;-&quot;??_-;_-@_-">
                        <c:v>183682</c:v>
                      </c:pt>
                      <c:pt idx="6" formatCode="_-* #\ ##0_-;\-* #\ ##0_-;_-* &quot;-&quot;??_-;_-@_-">
                        <c:v>157162</c:v>
                      </c:pt>
                      <c:pt idx="7" formatCode="_-* #\ ##0_-;\-* #\ ##0_-;_-* &quot;-&quot;??_-;_-@_-">
                        <c:v>130161</c:v>
                      </c:pt>
                      <c:pt idx="8" formatCode="_-* #\ ##0_-;\-* #\ ##0_-;_-* &quot;-&quot;??_-;_-@_-">
                        <c:v>102670</c:v>
                      </c:pt>
                      <c:pt idx="9" formatCode="_-* #\ ##0_-;\-* #\ ##0_-;_-* &quot;-&quot;??_-;_-@_-">
                        <c:v>74680</c:v>
                      </c:pt>
                      <c:pt idx="10" formatCode="_-* #\ ##0_-;\-* #\ ##0_-;_-* &quot;-&quot;??_-;_-@_-">
                        <c:v>46183</c:v>
                      </c:pt>
                      <c:pt idx="11" formatCode="_-* #\ ##0_-;\-* #\ ##0_-;_-* &quot;-&quot;??_-;_-@_-">
                        <c:v>17167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04F-4FA9-B7B0-2418CCBB4FD6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Emprunts!$B$15:$D$15</c15:sqref>
                        </c15:formulaRef>
                      </c:ext>
                    </c:extLst>
                    <c:strCache>
                      <c:ptCount val="3"/>
                      <c:pt idx="0">
                        <c:v> LCL_SCI CHENNEVIERES </c:v>
                      </c:pt>
                      <c:pt idx="1">
                        <c:v>9-CHENNEVIERES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Emprunts!$E$15:$AR$15</c15:sqref>
                        </c15:fullRef>
                        <c15:formulaRef>
                          <c15:sqref>(Emprunts!$E$15:$F$15,Emprunts!$J$15:$T$15,Emprunts!$V$15,Emprunts!$X$15,Emprunts!$Z$15,Emprunts!$AB$15,Emprunts!$AD$15,Emprunts!$AF$15,Emprunts!$AH$15,Emprunts!$AJ$15,Emprunts!$AL$15,Emprunts!$AN$15,Emprunts!$AP$15,Emprunts!$AR$15)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685859.27312744362</c:v>
                      </c:pt>
                      <c:pt idx="1" formatCode="_-* #\ ##0_-;\-* #\ ##0_-;_-* &quot;-&quot;??_-;_-@_-">
                        <c:v>645315.15765550383</c:v>
                      </c:pt>
                      <c:pt idx="2" formatCode="_-* #\ ##0_-;\-* #\ ##0_-;_-* &quot;-&quot;??_-;_-@_-">
                        <c:v>602873.59375698224</c:v>
                      </c:pt>
                      <c:pt idx="3" formatCode="_-* #\ ##0_-;\-* #\ ##0_-;_-* &quot;-&quot;??_-;_-@_-">
                        <c:v>558445.78160261549</c:v>
                      </c:pt>
                      <c:pt idx="4" formatCode="_-* #\ ##0_-;\-* #\ ##0_-;_-* &quot;-&quot;??_-;_-@_-">
                        <c:v>511938.76556656288</c:v>
                      </c:pt>
                      <c:pt idx="5" formatCode="_-* #\ ##0_-;\-* #\ ##0_-;_-* &quot;-&quot;??_-;_-@_-">
                        <c:v>463255</c:v>
                      </c:pt>
                      <c:pt idx="6" formatCode="_-* #\ ##0_-;\-* #\ ##0_-;_-* &quot;-&quot;??_-;_-@_-">
                        <c:v>412293</c:v>
                      </c:pt>
                      <c:pt idx="7" formatCode="_-* #\ ##0_-;\-* #\ ##0_-;_-* &quot;-&quot;??_-;_-@_-">
                        <c:v>358946</c:v>
                      </c:pt>
                      <c:pt idx="8" formatCode="_-* #\ ##0_-;\-* #\ ##0_-;_-* &quot;-&quot;??_-;_-@_-">
                        <c:v>303103</c:v>
                      </c:pt>
                      <c:pt idx="9" formatCode="_-* #\ ##0_-;\-* #\ ##0_-;_-* &quot;-&quot;??_-;_-@_-">
                        <c:v>244646</c:v>
                      </c:pt>
                      <c:pt idx="10" formatCode="_-* #\ ##0_-;\-* #\ ##0_-;_-* &quot;-&quot;??_-;_-@_-">
                        <c:v>183453</c:v>
                      </c:pt>
                      <c:pt idx="11" formatCode="_-* #\ ##0_-;\-* #\ ##0_-;_-* &quot;-&quot;??_-;_-@_-">
                        <c:v>119397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4F-4FA9-B7B0-2418CCBB4FD6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Emprunts!$B$16:$D$16</c15:sqref>
                        </c15:formulaRef>
                      </c:ext>
                    </c:extLst>
                    <c:strCache>
                      <c:ptCount val="3"/>
                      <c:pt idx="0">
                        <c:v> CE_SCI TAVERNY </c:v>
                      </c:pt>
                      <c:pt idx="1">
                        <c:v>9-TAVERNY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Emprunts!$E$16:$AR$16</c15:sqref>
                        </c15:fullRef>
                        <c15:formulaRef>
                          <c15:sqref>(Emprunts!$E$16:$F$16,Emprunts!$J$16:$T$16,Emprunts!$V$16,Emprunts!$X$16,Emprunts!$Z$16,Emprunts!$AB$16,Emprunts!$AD$16,Emprunts!$AF$16,Emprunts!$AH$16,Emprunts!$AJ$16,Emprunts!$AL$16,Emprunts!$AN$16,Emprunts!$AP$16,Emprunts!$AR$16)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1357225.8547237345</c:v>
                      </c:pt>
                      <c:pt idx="1" formatCode="_-* #\ ##0_-;\-* #\ ##0_-;_-* &quot;-&quot;??_-;_-@_-">
                        <c:v>1310489.8714441014</c:v>
                      </c:pt>
                      <c:pt idx="2" formatCode="_-* #\ ##0_-;\-* #\ ##0_-;_-* &quot;-&quot;??_-;_-@_-">
                        <c:v>1261397.0218875192</c:v>
                      </c:pt>
                      <c:pt idx="3" formatCode="_-* #\ ##0_-;\-* #\ ##0_-;_-* &quot;-&quot;??_-;_-@_-">
                        <c:v>1206315.7498224692</c:v>
                      </c:pt>
                      <c:pt idx="4" formatCode="_-* #\ ##0_-;\-* #\ ##0_-;_-* &quot;-&quot;??_-;_-@_-">
                        <c:v>1147256.7632431318</c:v>
                      </c:pt>
                      <c:pt idx="5" formatCode="_-* #\ ##0_-;\-* #\ ##0_-;_-* &quot;-&quot;??_-;_-@_-">
                        <c:v>1085219</c:v>
                      </c:pt>
                      <c:pt idx="6" formatCode="_-* #\ ##0_-;\-* #\ ##0_-;_-* &quot;-&quot;??_-;_-@_-">
                        <c:v>1020054</c:v>
                      </c:pt>
                      <c:pt idx="7" formatCode="_-* #\ ##0_-;\-* #\ ##0_-;_-* &quot;-&quot;??_-;_-@_-">
                        <c:v>951602</c:v>
                      </c:pt>
                      <c:pt idx="8" formatCode="_-* #\ ##0_-;\-* #\ ##0_-;_-* &quot;-&quot;??_-;_-@_-">
                        <c:v>879698</c:v>
                      </c:pt>
                      <c:pt idx="9" formatCode="_-* #\ ##0_-;\-* #\ ##0_-;_-* &quot;-&quot;??_-;_-@_-">
                        <c:v>804167</c:v>
                      </c:pt>
                      <c:pt idx="10" formatCode="_-* #\ ##0_-;\-* #\ ##0_-;_-* &quot;-&quot;??_-;_-@_-">
                        <c:v>724828</c:v>
                      </c:pt>
                      <c:pt idx="11" formatCode="_-* #\ ##0_-;\-* #\ ##0_-;_-* &quot;-&quot;??_-;_-@_-">
                        <c:v>641488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04F-4FA9-B7B0-2418CCBB4FD6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Emprunts!$B$17:$D$17</c15:sqref>
                        </c15:formulaRef>
                      </c:ext>
                    </c:extLst>
                    <c:strCache>
                      <c:ptCount val="3"/>
                      <c:pt idx="0">
                        <c:v> CE_SCI CHATOU </c:v>
                      </c:pt>
                      <c:pt idx="1">
                        <c:v>9-GJB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Emprunts!$E$17:$AR$17</c15:sqref>
                        </c15:fullRef>
                        <c15:formulaRef>
                          <c15:sqref>(Emprunts!$E$17:$F$17,Emprunts!$J$17:$T$17,Emprunts!$V$17,Emprunts!$X$17,Emprunts!$Z$17,Emprunts!$AB$17,Emprunts!$AD$17,Emprunts!$AF$17,Emprunts!$AH$17,Emprunts!$AJ$17,Emprunts!$AL$17,Emprunts!$AN$17,Emprunts!$AP$17,Emprunts!$AR$17)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1092667.847572482</c:v>
                      </c:pt>
                      <c:pt idx="1" formatCode="_-* #\ ##0_-;\-* #\ ##0_-;_-* &quot;-&quot;??_-;_-@_-">
                        <c:v>1032371.616965641</c:v>
                      </c:pt>
                      <c:pt idx="2" formatCode="_-* #\ ##0_-;\-* #\ ##0_-;_-* &quot;-&quot;??_-;_-@_-">
                        <c:v>968927.36984069122</c:v>
                      </c:pt>
                      <c:pt idx="3" formatCode="_-* #\ ##0_-;\-* #\ ##0_-;_-* &quot;-&quot;??_-;_-@_-">
                        <c:v>902170.75084907142</c:v>
                      </c:pt>
                      <c:pt idx="4" formatCode="_-* #\ ##0_-;\-* #\ ##0_-;_-* &quot;-&quot;??_-;_-@_-">
                        <c:v>831928.82378489524</c:v>
                      </c:pt>
                      <c:pt idx="5" formatCode="_-* #\ ##0_-;\-* #\ ##0_-;_-* &quot;-&quot;??_-;_-@_-">
                        <c:v>758020</c:v>
                      </c:pt>
                      <c:pt idx="6" formatCode="_-* #\ ##0_-;\-* #\ ##0_-;_-* &quot;-&quot;??_-;_-@_-">
                        <c:v>680252</c:v>
                      </c:pt>
                      <c:pt idx="7" formatCode="_-* #\ ##0_-;\-* #\ ##0_-;_-* &quot;-&quot;??_-;_-@_-">
                        <c:v>598424</c:v>
                      </c:pt>
                      <c:pt idx="8" formatCode="_-* #\ ##0_-;\-* #\ ##0_-;_-* &quot;-&quot;??_-;_-@_-">
                        <c:v>512323</c:v>
                      </c:pt>
                      <c:pt idx="9" formatCode="_-* #\ ##0_-;\-* #\ ##0_-;_-* &quot;-&quot;??_-;_-@_-">
                        <c:v>421728</c:v>
                      </c:pt>
                      <c:pt idx="10" formatCode="_-* #\ ##0_-;\-* #\ ##0_-;_-* &quot;-&quot;??_-;_-@_-">
                        <c:v>326402</c:v>
                      </c:pt>
                      <c:pt idx="11" formatCode="_-* #\ ##0_-;\-* #\ ##0_-;_-* &quot;-&quot;??_-;_-@_-">
                        <c:v>226100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4F-4FA9-B7B0-2418CCBB4FD6}"/>
                  </c:ext>
                </c:extLst>
              </c15:ser>
            </c15:filteredAreaSeries>
            <c15:filteredArea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Emprunts!$B$18:$D$18</c15:sqref>
                        </c15:formulaRef>
                      </c:ext>
                    </c:extLst>
                    <c:strCache>
                      <c:ptCount val="3"/>
                      <c:pt idx="0">
                        <c:v> LCL_SCI PLESSIS </c:v>
                      </c:pt>
                      <c:pt idx="1">
                        <c:v>9-GJB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Emprunts!$E$18:$AR$18</c15:sqref>
                        </c15:fullRef>
                        <c15:formulaRef>
                          <c15:sqref>(Emprunts!$E$18:$F$18,Emprunts!$J$18:$T$18,Emprunts!$V$18,Emprunts!$X$18,Emprunts!$Z$18,Emprunts!$AB$18,Emprunts!$AD$18,Emprunts!$AF$18,Emprunts!$AH$18,Emprunts!$AJ$18,Emprunts!$AL$18,Emprunts!$AN$18,Emprunts!$AP$18,Emprunts!$AR$18)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686767.34036551241</c:v>
                      </c:pt>
                      <c:pt idx="1" formatCode="_-* #\ ##0_-;\-* #\ ##0_-;_-* &quot;-&quot;??_-;_-@_-">
                        <c:v>649186.76537886821</c:v>
                      </c:pt>
                      <c:pt idx="2" formatCode="_-* #\ ##0_-;\-* #\ ##0_-;_-* &quot;-&quot;??_-;_-@_-">
                        <c:v>609840.56729671638</c:v>
                      </c:pt>
                      <c:pt idx="3" formatCode="_-* #\ ##0_-;\-* #\ ##0_-;_-* &quot;-&quot;??_-;_-@_-">
                        <c:v>568645.79302649479</c:v>
                      </c:pt>
                      <c:pt idx="4" formatCode="_-* #\ ##0_-;\-* #\ ##0_-;_-* &quot;-&quot;??_-;_-@_-">
                        <c:v>525515.59214580816</c:v>
                      </c:pt>
                      <c:pt idx="5" formatCode="_-* #\ ##0_-;\-* #\ ##0_-;_-* &quot;-&quot;??_-;_-@_-">
                        <c:v>480359</c:v>
                      </c:pt>
                      <c:pt idx="6" formatCode="_-* #\ ##0_-;\-* #\ ##0_-;_-* &quot;-&quot;??_-;_-@_-">
                        <c:v>433081</c:v>
                      </c:pt>
                      <c:pt idx="7" formatCode="_-* #\ ##0_-;\-* #\ ##0_-;_-* &quot;-&quot;??_-;_-@_-">
                        <c:v>383582</c:v>
                      </c:pt>
                      <c:pt idx="8" formatCode="_-* #\ ##0_-;\-* #\ ##0_-;_-* &quot;-&quot;??_-;_-@_-">
                        <c:v>331757</c:v>
                      </c:pt>
                      <c:pt idx="9" formatCode="_-* #\ ##0_-;\-* #\ ##0_-;_-* &quot;-&quot;??_-;_-@_-">
                        <c:v>277497</c:v>
                      </c:pt>
                      <c:pt idx="10" formatCode="_-* #\ ##0_-;\-* #\ ##0_-;_-* &quot;-&quot;??_-;_-@_-">
                        <c:v>220688</c:v>
                      </c:pt>
                      <c:pt idx="11" formatCode="_-* #\ ##0_-;\-* #\ ##0_-;_-* &quot;-&quot;??_-;_-@_-">
                        <c:v>161209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04F-4FA9-B7B0-2418CCBB4FD6}"/>
                  </c:ext>
                </c:extLst>
              </c15:ser>
            </c15:filteredAreaSeries>
            <c15:filteredArea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Emprunts!$B$19:$D$19</c15:sqref>
                        </c15:formulaRef>
                      </c:ext>
                    </c:extLst>
                    <c:strCache>
                      <c:ptCount val="3"/>
                      <c:pt idx="0">
                        <c:v> SG_SCI ALFORTVILLE </c:v>
                      </c:pt>
                      <c:pt idx="1">
                        <c:v>9-CHENNEVIERES</c:v>
                      </c:pt>
                      <c:pt idx="2">
                        <c:v> SG 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Emprunts!$E$19:$AR$19</c15:sqref>
                        </c15:fullRef>
                        <c15:formulaRef>
                          <c15:sqref>(Emprunts!$E$19:$F$19,Emprunts!$J$19:$T$19,Emprunts!$V$19,Emprunts!$X$19,Emprunts!$Z$19,Emprunts!$AB$19,Emprunts!$AD$19,Emprunts!$AF$19,Emprunts!$AH$19,Emprunts!$AJ$19,Emprunts!$AL$19,Emprunts!$AN$19,Emprunts!$AP$19,Emprunts!$AR$19)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792256.82392726513</c:v>
                      </c:pt>
                      <c:pt idx="1" formatCode="_-* #\ ##0_-;\-* #\ ##0_-;_-* &quot;-&quot;??_-;_-@_-">
                        <c:v>746061.55869565415</c:v>
                      </c:pt>
                      <c:pt idx="2" formatCode="_-* #\ ##0_-;\-* #\ ##0_-;_-* &quot;-&quot;??_-;_-@_-">
                        <c:v>697729.64799698698</c:v>
                      </c:pt>
                      <c:pt idx="3" formatCode="_-* #\ ##0_-;\-* #\ ##0_-;_-* &quot;-&quot;??_-;_-@_-">
                        <c:v>647162.26668481238</c:v>
                      </c:pt>
                      <c:pt idx="4" formatCode="_-* #\ ##0_-;\-* #\ ##0_-;_-* &quot;-&quot;??_-;_-@_-">
                        <c:v>594256.01870481262</c:v>
                      </c:pt>
                      <c:pt idx="5" formatCode="_-* #\ ##0_-;\-* #\ ##0_-;_-* &quot;-&quot;??_-;_-@_-">
                        <c:v>538903</c:v>
                      </c:pt>
                      <c:pt idx="6" formatCode="_-* #\ ##0_-;\-* #\ ##0_-;_-* &quot;-&quot;??_-;_-@_-">
                        <c:v>480989</c:v>
                      </c:pt>
                      <c:pt idx="7" formatCode="_-* #\ ##0_-;\-* #\ ##0_-;_-* &quot;-&quot;??_-;_-@_-">
                        <c:v>420397</c:v>
                      </c:pt>
                      <c:pt idx="8" formatCode="_-* #\ ##0_-;\-* #\ ##0_-;_-* &quot;-&quot;??_-;_-@_-">
                        <c:v>357002</c:v>
                      </c:pt>
                      <c:pt idx="9" formatCode="_-* #\ ##0_-;\-* #\ ##0_-;_-* &quot;-&quot;??_-;_-@_-">
                        <c:v>290675</c:v>
                      </c:pt>
                      <c:pt idx="10" formatCode="_-* #\ ##0_-;\-* #\ ##0_-;_-* &quot;-&quot;??_-;_-@_-">
                        <c:v>221281</c:v>
                      </c:pt>
                      <c:pt idx="11" formatCode="_-* #\ ##0_-;\-* #\ ##0_-;_-* &quot;-&quot;??_-;_-@_-">
                        <c:v>148677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04F-4FA9-B7B0-2418CCBB4FD6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Emprunts!$B$20:$D$20</c15:sqref>
                        </c15:formulaRef>
                      </c:ext>
                    </c:extLst>
                    <c:strCache>
                      <c:ptCount val="3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Emprunts!$E$20:$AR$20</c15:sqref>
                        </c15:fullRef>
                        <c15:formulaRef>
                          <c15:sqref>(Emprunts!$E$20:$F$20,Emprunts!$J$20:$T$20,Emprunts!$V$20,Emprunts!$X$20,Emprunts!$Z$20,Emprunts!$AB$20,Emprunts!$AD$20,Emprunts!$AF$20,Emprunts!$AH$20,Emprunts!$AJ$20,Emprunts!$AL$20,Emprunts!$AN$20,Emprunts!$AP$20,Emprunts!$AR$20)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394960.84692272329</c:v>
                      </c:pt>
                      <c:pt idx="1" formatCode="_-* #\ ##0_-;\-* #\ ##0_-;_-* &quot;-&quot;??_-;_-@_-">
                        <c:v>264879.17571638949</c:v>
                      </c:pt>
                      <c:pt idx="2" formatCode="_-* #\ ##0_-;\-* #\ ##0_-;_-* &quot;-&quot;??_-;_-@_-">
                        <c:v>133231.84151541631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04F-4FA9-B7B0-2418CCBB4FD6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Emprunts!$B$21:$D$21</c15:sqref>
                        </c15:formulaRef>
                      </c:ext>
                    </c:extLst>
                    <c:strCache>
                      <c:ptCount val="3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Emprunts!$E$21:$AR$21</c15:sqref>
                        </c15:fullRef>
                        <c15:formulaRef>
                          <c15:sqref>(Emprunts!$E$21:$F$21,Emprunts!$J$21:$T$21,Emprunts!$V$21,Emprunts!$X$21,Emprunts!$Z$21,Emprunts!$AB$21,Emprunts!$AD$21,Emprunts!$AF$21,Emprunts!$AH$21,Emprunts!$AJ$21,Emprunts!$AL$21,Emprunts!$AN$21,Emprunts!$AP$21,Emprunts!$AR$21)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394960.84692272329</c:v>
                      </c:pt>
                      <c:pt idx="1" formatCode="_-* #\ ##0_-;\-* #\ ##0_-;_-* &quot;-&quot;??_-;_-@_-">
                        <c:v>264879.17571638949</c:v>
                      </c:pt>
                      <c:pt idx="2" formatCode="_-* #\ ##0_-;\-* #\ ##0_-;_-* &quot;-&quot;??_-;_-@_-">
                        <c:v>133231.84151541631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04F-4FA9-B7B0-2418CCBB4FD6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Emprunts!$B$22:$D$22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Emprunts!$E$22:$AR$22</c15:sqref>
                        </c15:fullRef>
                        <c15:formulaRef>
                          <c15:sqref>(Emprunts!$E$22:$F$22,Emprunts!$J$22:$T$22,Emprunts!$V$22,Emprunts!$X$22,Emprunts!$Z$22,Emprunts!$AB$22,Emprunts!$AD$22,Emprunts!$AF$22,Emprunts!$AH$22,Emprunts!$AJ$22,Emprunts!$AL$22,Emprunts!$AN$22,Emprunts!$AP$22,Emprunts!$AR$22)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113285.78592867678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04F-4FA9-B7B0-2418CCBB4FD6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Emprunts!$B$23:$D$23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Emprunts!$E$23:$AR$23</c15:sqref>
                        </c15:fullRef>
                        <c15:formulaRef>
                          <c15:sqref>(Emprunts!$E$23:$F$23,Emprunts!$J$23:$T$23,Emprunts!$V$23,Emprunts!$X$23,Emprunts!$Z$23,Emprunts!$AB$23,Emprunts!$AD$23,Emprunts!$AF$23,Emprunts!$AH$23,Emprunts!$AJ$23,Emprunts!$AL$23,Emprunts!$AN$23,Emprunts!$AP$23,Emprunts!$AR$23)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113285.78592867678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04F-4FA9-B7B0-2418CCBB4FD6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Emprunts!$B$24:$D$24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Emprunts!$E$24:$AR$24</c15:sqref>
                        </c15:fullRef>
                        <c15:formulaRef>
                          <c15:sqref>(Emprunts!$E$24:$F$24,Emprunts!$J$24:$T$24,Emprunts!$V$24,Emprunts!$X$24,Emprunts!$Z$24,Emprunts!$AB$24,Emprunts!$AD$24,Emprunts!$AF$24,Emprunts!$AH$24,Emprunts!$AJ$24,Emprunts!$AL$24,Emprunts!$AN$24,Emprunts!$AP$24,Emprunts!$AR$24)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2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04F-4FA9-B7B0-2418CCBB4FD6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8"/>
          <c:order val="8"/>
          <c:tx>
            <c:strRef>
              <c:f>Emprunts!$B$13:$J$13</c:f>
              <c:strCache>
                <c:ptCount val="9"/>
                <c:pt idx="0">
                  <c:v> CA_SCI ORIENT </c:v>
                </c:pt>
                <c:pt idx="1">
                  <c:v>9-ORIENT</c:v>
                </c:pt>
                <c:pt idx="2">
                  <c:v> CA </c:v>
                </c:pt>
                <c:pt idx="4">
                  <c:v>0</c:v>
                </c:pt>
                <c:pt idx="5">
                  <c:v> 665 000 </c:v>
                </c:pt>
                <c:pt idx="6">
                  <c:v>1,40%</c:v>
                </c:pt>
                <c:pt idx="7">
                  <c:v>05/04/23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Emprunts!$K$13:$BF$13</c15:sqref>
                  </c15:fullRef>
                </c:ext>
              </c:extLst>
              <c:f>(Emprunts!$K$13:$T$13,Emprunts!$V$13,Emprunts!$X$13,Emprunts!$Z$13,Emprunts!$AB$13,Emprunts!$AD$13,Emprunts!$AF$13,Emprunts!$AH$13,Emprunts!$AJ$13,Emprunts!$AL$13,Emprunts!$AN$13,Emprunts!$AP$13,Emprunts!$AR$13,Emprunts!$AT$13,Emprunts!$AV$13,Emprunts!$AX$13,Emprunts!$AZ$13,Emprunts!$BB$13,Emprunts!$BD$13,Emprunts!$BF$13)</c:f>
              <c:numCache>
                <c:formatCode>_-* #\ ##0_-;\-* #\ ##0_-;_-* "-"??_-;_-@_-</c:formatCode>
                <c:ptCount val="19"/>
                <c:pt idx="0">
                  <c:v>553109.81484609994</c:v>
                </c:pt>
                <c:pt idx="1">
                  <c:v>511333.5249373964</c:v>
                </c:pt>
                <c:pt idx="2">
                  <c:v>468968.59943358751</c:v>
                </c:pt>
                <c:pt idx="3">
                  <c:v>426006.74435106228</c:v>
                </c:pt>
                <c:pt idx="4">
                  <c:v>382439.54884245817</c:v>
                </c:pt>
                <c:pt idx="5">
                  <c:v>338258</c:v>
                </c:pt>
                <c:pt idx="6">
                  <c:v>293455</c:v>
                </c:pt>
                <c:pt idx="7">
                  <c:v>248020</c:v>
                </c:pt>
                <c:pt idx="8">
                  <c:v>201945</c:v>
                </c:pt>
                <c:pt idx="9">
                  <c:v>155221</c:v>
                </c:pt>
                <c:pt idx="10">
                  <c:v>107838</c:v>
                </c:pt>
                <c:pt idx="11">
                  <c:v>59788</c:v>
                </c:pt>
                <c:pt idx="12">
                  <c:v>11061</c:v>
                </c:pt>
                <c:pt idx="13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D350-4C2F-8789-4C7B5CA46467}"/>
            </c:ext>
          </c:extLst>
        </c:ser>
        <c:ser>
          <c:idx val="9"/>
          <c:order val="9"/>
          <c:tx>
            <c:strRef>
              <c:f>Emprunts!$B$14:$J$14</c:f>
              <c:strCache>
                <c:ptCount val="9"/>
                <c:pt idx="0">
                  <c:v> LCL_SCI ORIENT </c:v>
                </c:pt>
                <c:pt idx="1">
                  <c:v>9-ORIENT</c:v>
                </c:pt>
                <c:pt idx="2">
                  <c:v> LCL </c:v>
                </c:pt>
                <c:pt idx="4">
                  <c:v>0</c:v>
                </c:pt>
                <c:pt idx="5">
                  <c:v> 377 612 </c:v>
                </c:pt>
                <c:pt idx="6">
                  <c:v>1,80%</c:v>
                </c:pt>
                <c:pt idx="7">
                  <c:v>07/02/23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Emprunts!$K$14:$BF$14</c15:sqref>
                  </c15:fullRef>
                </c:ext>
              </c:extLst>
              <c:f>(Emprunts!$K$14:$T$14,Emprunts!$V$14,Emprunts!$X$14,Emprunts!$Z$14,Emprunts!$AB$14,Emprunts!$AD$14,Emprunts!$AF$14,Emprunts!$AH$14,Emprunts!$AJ$14,Emprunts!$AL$14,Emprunts!$AN$14,Emprunts!$AP$14,Emprunts!$AR$14,Emprunts!$AT$14,Emprunts!$AV$14,Emprunts!$AX$14,Emprunts!$AZ$14,Emprunts!$BB$14,Emprunts!$BD$14,Emprunts!$BF$14)</c:f>
              <c:numCache>
                <c:formatCode>_-* #\ ##0_-;\-* #\ ##0_-;_-* "-"??_-;_-@_-</c:formatCode>
                <c:ptCount val="19"/>
                <c:pt idx="0">
                  <c:v>309355.54274141247</c:v>
                </c:pt>
                <c:pt idx="1">
                  <c:v>285116.7821471584</c:v>
                </c:pt>
                <c:pt idx="2">
                  <c:v>260438.10634809287</c:v>
                </c:pt>
                <c:pt idx="3">
                  <c:v>235311.53121537936</c:v>
                </c:pt>
                <c:pt idx="4">
                  <c:v>209728.9277142708</c:v>
                </c:pt>
                <c:pt idx="5">
                  <c:v>183682</c:v>
                </c:pt>
                <c:pt idx="6">
                  <c:v>157162</c:v>
                </c:pt>
                <c:pt idx="7">
                  <c:v>130161</c:v>
                </c:pt>
                <c:pt idx="8">
                  <c:v>102670</c:v>
                </c:pt>
                <c:pt idx="9">
                  <c:v>74680</c:v>
                </c:pt>
                <c:pt idx="10">
                  <c:v>46183</c:v>
                </c:pt>
                <c:pt idx="11">
                  <c:v>17167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D350-4C2F-8789-4C7B5CA46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Emprunts!$B$5:$J$5</c15:sqref>
                        </c15:formulaRef>
                      </c:ext>
                    </c:extLst>
                    <c:strCache>
                      <c:ptCount val="9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435 000 </c:v>
                      </c:pt>
                      <c:pt idx="6">
                        <c:v>1,30%</c:v>
                      </c:pt>
                      <c:pt idx="7">
                        <c:v>05/11/20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Emprunts!$K$5:$BF$5</c15:sqref>
                        </c15:fullRef>
                        <c15:formulaRef>
                          <c15:sqref>(Emprunts!$K$5:$T$5,Emprunts!$V$5,Emprunts!$X$5,Emprunts!$Z$5,Emprunts!$AB$5,Emprunts!$AD$5,Emprunts!$AF$5,Emprunts!$AH$5,Emprunts!$AJ$5,Emprunts!$AL$5,Emprunts!$AN$5,Emprunts!$AP$5,Emprunts!$AR$5,Emprunts!$AT$5,Emprunts!$AV$5,Emprunts!$AX$5,Emprunts!$AZ$5,Emprunts!$BB$5,Emprunts!$BD$5,Emprunts!$BF$5)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2.8812288073822856E-3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350-4C2F-8789-4C7B5CA46467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Emprunts!$B$6:$J$6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409 000 </c:v>
                      </c:pt>
                      <c:pt idx="6">
                        <c:v>1,35%</c:v>
                      </c:pt>
                      <c:pt idx="7">
                        <c:v>05/04/22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Emprunts!$K$6:$BF$6</c15:sqref>
                        </c15:fullRef>
                        <c15:formulaRef>
                          <c15:sqref>(Emprunts!$K$6:$T$6,Emprunts!$V$6,Emprunts!$X$6,Emprunts!$Z$6,Emprunts!$AB$6,Emprunts!$AD$6,Emprunts!$AF$6,Emprunts!$AH$6,Emprunts!$AJ$6,Emprunts!$AL$6,Emprunts!$AN$6,Emprunts!$AP$6,Emprunts!$AR$6,Emprunts!$AT$6,Emprunts!$AV$6,Emprunts!$AX$6,Emprunts!$AZ$6,Emprunts!$BB$6,Emprunts!$BD$6,Emprunts!$BF$6)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305556.77369127376</c:v>
                      </c:pt>
                      <c:pt idx="1">
                        <c:v>277076.47760202223</c:v>
                      </c:pt>
                      <c:pt idx="2">
                        <c:v>248209.30957698025</c:v>
                      </c:pt>
                      <c:pt idx="3">
                        <c:v>218950.01440762632</c:v>
                      </c:pt>
                      <c:pt idx="4">
                        <c:v>189293.2654994996</c:v>
                      </c:pt>
                      <c:pt idx="5">
                        <c:v>159234</c:v>
                      </c:pt>
                      <c:pt idx="6">
                        <c:v>128766</c:v>
                      </c:pt>
                      <c:pt idx="7">
                        <c:v>97884</c:v>
                      </c:pt>
                      <c:pt idx="8">
                        <c:v>66583</c:v>
                      </c:pt>
                      <c:pt idx="9">
                        <c:v>34856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350-4C2F-8789-4C7B5CA46467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Emprunts!$B$7:$J$7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220154G</c:v>
                      </c:pt>
                      <c:pt idx="5">
                        <c:v> 1 515 000 </c:v>
                      </c:pt>
                      <c:pt idx="6">
                        <c:v>1,35%</c:v>
                      </c:pt>
                      <c:pt idx="7">
                        <c:v>10/09/22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Emprunts!$K$7:$BF$7</c15:sqref>
                        </c15:fullRef>
                        <c15:formulaRef>
                          <c15:sqref>(Emprunts!$K$7:$T$7,Emprunts!$V$7,Emprunts!$X$7,Emprunts!$Z$7,Emprunts!$AB$7,Emprunts!$AD$7,Emprunts!$AF$7,Emprunts!$AH$7,Emprunts!$AJ$7,Emprunts!$AL$7,Emprunts!$AN$7,Emprunts!$AP$7,Emprunts!$AR$7,Emprunts!$AT$7,Emprunts!$AV$7,Emprunts!$AX$7,Emprunts!$AZ$7,Emprunts!$BB$7,Emprunts!$BD$7,Emprunts!$BF$7)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1175368.7829993453</c:v>
                      </c:pt>
                      <c:pt idx="1">
                        <c:v>1070464.9101257892</c:v>
                      </c:pt>
                      <c:pt idx="2">
                        <c:v>964136.03927316284</c:v>
                      </c:pt>
                      <c:pt idx="3">
                        <c:v>856362.81348938483</c:v>
                      </c:pt>
                      <c:pt idx="4">
                        <c:v>747125.61288053193</c:v>
                      </c:pt>
                      <c:pt idx="5">
                        <c:v>636405</c:v>
                      </c:pt>
                      <c:pt idx="6">
                        <c:v>524179</c:v>
                      </c:pt>
                      <c:pt idx="7">
                        <c:v>410430</c:v>
                      </c:pt>
                      <c:pt idx="8">
                        <c:v>295135</c:v>
                      </c:pt>
                      <c:pt idx="9">
                        <c:v>178274</c:v>
                      </c:pt>
                      <c:pt idx="10">
                        <c:v>59826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350-4C2F-8789-4C7B5CA46467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Emprunts!$B$8:$J$8</c15:sqref>
                        </c15:formulaRef>
                      </c:ext>
                    </c:extLst>
                    <c:strCache>
                      <c:ptCount val="9"/>
                      <c:pt idx="0">
                        <c:v> SG_SCI 34 HAUTE </c:v>
                      </c:pt>
                      <c:pt idx="1">
                        <c:v>9-HAUTE</c:v>
                      </c:pt>
                      <c:pt idx="2">
                        <c:v> SG </c:v>
                      </c:pt>
                      <c:pt idx="4">
                        <c:v>2,25003E+11</c:v>
                      </c:pt>
                      <c:pt idx="5">
                        <c:v> 350 000 </c:v>
                      </c:pt>
                      <c:pt idx="6">
                        <c:v>3,53%</c:v>
                      </c:pt>
                      <c:pt idx="7">
                        <c:v>13/02/25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Emprunts!$K$8:$BF$8</c15:sqref>
                        </c15:fullRef>
                        <c15:formulaRef>
                          <c15:sqref>(Emprunts!$K$8:$T$8,Emprunts!$V$8,Emprunts!$X$8,Emprunts!$Z$8,Emprunts!$AB$8,Emprunts!$AD$8,Emprunts!$AF$8,Emprunts!$AH$8,Emprunts!$AJ$8,Emprunts!$AL$8,Emprunts!$AN$8,Emprunts!$AP$8,Emprunts!$AR$8,Emprunts!$AT$8,Emprunts!$AV$8,Emprunts!$AX$8,Emprunts!$AZ$8,Emprunts!$BB$8,Emprunts!$BD$8,Emprunts!$BF$8)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308928.84723423043</c:v>
                      </c:pt>
                      <c:pt idx="1">
                        <c:v>262584.23018713825</c:v>
                      </c:pt>
                      <c:pt idx="2">
                        <c:v>214576.91834340864</c:v>
                      </c:pt>
                      <c:pt idx="3">
                        <c:v>164847.25959751342</c:v>
                      </c:pt>
                      <c:pt idx="4">
                        <c:v>113333.46171953013</c:v>
                      </c:pt>
                      <c:pt idx="5">
                        <c:v>59972</c:v>
                      </c:pt>
                      <c:pt idx="6">
                        <c:v>4965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350-4C2F-8789-4C7B5CA46467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Emprunts!$B$9:$J$9</c15:sqref>
                        </c15:formulaRef>
                      </c:ext>
                    </c:extLst>
                    <c:strCache>
                      <c:ptCount val="9"/>
                      <c:pt idx="0">
                        <c:v> BNP_SCI LEGRAND </c:v>
                      </c:pt>
                      <c:pt idx="1">
                        <c:v>9-LEGRAND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239 978 </c:v>
                      </c:pt>
                      <c:pt idx="6">
                        <c:v>1,00%</c:v>
                      </c:pt>
                      <c:pt idx="7">
                        <c:v>18/01/18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Emprunts!$K$9:$BF$9</c15:sqref>
                        </c15:fullRef>
                        <c15:formulaRef>
                          <c15:sqref>(Emprunts!$K$9:$T$9,Emprunts!$V$9,Emprunts!$X$9,Emprunts!$Z$9,Emprunts!$AB$9,Emprunts!$AD$9,Emprunts!$AF$9,Emprunts!$AH$9,Emprunts!$AJ$9,Emprunts!$AL$9,Emprunts!$AN$9,Emprunts!$AP$9,Emprunts!$AR$9,Emprunts!$AT$9,Emprunts!$AV$9,Emprunts!$AX$9,Emprunts!$AZ$9,Emprunts!$BB$9,Emprunts!$BD$9,Emprunts!$BF$9)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5217.0699999996341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350-4C2F-8789-4C7B5CA46467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Emprunts!$B$10:$J$10</c15:sqref>
                        </c15:formulaRef>
                      </c:ext>
                    </c:extLst>
                    <c:strCache>
                      <c:ptCount val="9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1 600 000 </c:v>
                      </c:pt>
                      <c:pt idx="6">
                        <c:v>1,50%</c:v>
                      </c:pt>
                      <c:pt idx="7">
                        <c:v>01/01/18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Emprunts!$K$10:$BF$10</c15:sqref>
                        </c15:fullRef>
                        <c15:formulaRef>
                          <c15:sqref>(Emprunts!$K$10:$T$10,Emprunts!$V$10,Emprunts!$X$10,Emprunts!$Z$10,Emprunts!$AB$10,Emprunts!$AD$10,Emprunts!$AF$10,Emprunts!$AH$10,Emprunts!$AJ$10,Emprunts!$AL$10,Emprunts!$AN$10,Emprunts!$AP$10,Emprunts!$AR$10,Emprunts!$AT$10,Emprunts!$AV$10,Emprunts!$AX$10,Emprunts!$AZ$10,Emprunts!$BB$10,Emprunts!$BD$10,Emprunts!$BF$10)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350-4C2F-8789-4C7B5CA46467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Emprunts!$B$11:$J$11</c15:sqref>
                        </c15:formulaRef>
                      </c:ext>
                    </c:extLst>
                    <c:strCache>
                      <c:ptCount val="9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1 350 000 </c:v>
                      </c:pt>
                      <c:pt idx="6">
                        <c:v>2,08%</c:v>
                      </c:pt>
                      <c:pt idx="7">
                        <c:v>28/05/17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Emprunts!$K$11:$BF$11</c15:sqref>
                        </c15:fullRef>
                        <c15:formulaRef>
                          <c15:sqref>(Emprunts!$K$11:$T$11,Emprunts!$V$11,Emprunts!$X$11,Emprunts!$Z$11,Emprunts!$AB$11,Emprunts!$AD$11,Emprunts!$AF$11,Emprunts!$AH$11,Emprunts!$AJ$11,Emprunts!$AL$11,Emprunts!$AN$11,Emprunts!$AP$11,Emprunts!$AR$11,Emprunts!$AT$11,Emprunts!$AV$11,Emprunts!$AX$11,Emprunts!$AZ$11,Emprunts!$BB$11,Emprunts!$BD$11,Emprunts!$BF$11)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350-4C2F-8789-4C7B5CA46467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Emprunts!$B$12:$J$12</c15:sqref>
                        </c15:formulaRef>
                      </c:ext>
                    </c:extLst>
                    <c:strCache>
                      <c:ptCount val="9"/>
                      <c:pt idx="0">
                        <c:v> SG_SCI LEGRAND </c:v>
                      </c:pt>
                      <c:pt idx="1">
                        <c:v>9-LEGRAND</c:v>
                      </c:pt>
                      <c:pt idx="2">
                        <c:v> SG </c:v>
                      </c:pt>
                      <c:pt idx="4">
                        <c:v>0</c:v>
                      </c:pt>
                      <c:pt idx="5">
                        <c:v> 780 000 </c:v>
                      </c:pt>
                      <c:pt idx="6">
                        <c:v>1,89%</c:v>
                      </c:pt>
                      <c:pt idx="7">
                        <c:v>03/08/18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Emprunts!$K$12:$BF$12</c15:sqref>
                        </c15:fullRef>
                        <c15:formulaRef>
                          <c15:sqref>(Emprunts!$K$12:$T$12,Emprunts!$V$12,Emprunts!$X$12,Emprunts!$Z$12,Emprunts!$AB$12,Emprunts!$AD$12,Emprunts!$AF$12,Emprunts!$AH$12,Emprunts!$AJ$12,Emprunts!$AL$12,Emprunts!$AN$12,Emprunts!$AP$12,Emprunts!$AR$12,Emprunts!$AT$12,Emprunts!$AV$12,Emprunts!$AX$12,Emprunts!$AZ$12,Emprunts!$BB$12,Emprunts!$BD$12,Emprunts!$BF$12)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421888.90549874143</c:v>
                      </c:pt>
                      <c:pt idx="1">
                        <c:v>369652.16752447974</c:v>
                      </c:pt>
                      <c:pt idx="2">
                        <c:v>316419.55787956738</c:v>
                      </c:pt>
                      <c:pt idx="3">
                        <c:v>262172.09068504494</c:v>
                      </c:pt>
                      <c:pt idx="4">
                        <c:v>206890.41810407222</c:v>
                      </c:pt>
                      <c:pt idx="5">
                        <c:v>150155</c:v>
                      </c:pt>
                      <c:pt idx="6">
                        <c:v>93145</c:v>
                      </c:pt>
                      <c:pt idx="7">
                        <c:v>34641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350-4C2F-8789-4C7B5CA46467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Emprunts!$B$15:$J$15</c15:sqref>
                        </c15:formulaRef>
                      </c:ext>
                    </c:extLst>
                    <c:strCache>
                      <c:ptCount val="9"/>
                      <c:pt idx="0">
                        <c:v> LCL_SCI CHENNEVIERES </c:v>
                      </c:pt>
                      <c:pt idx="1">
                        <c:v>9-CHENNEVIERES</c:v>
                      </c:pt>
                      <c:pt idx="2">
                        <c:v> LCL </c:v>
                      </c:pt>
                      <c:pt idx="4">
                        <c:v>23925728</c:v>
                      </c:pt>
                      <c:pt idx="5">
                        <c:v> 734 000 </c:v>
                      </c:pt>
                      <c:pt idx="6">
                        <c:v>4,60%</c:v>
                      </c:pt>
                      <c:pt idx="7">
                        <c:v>28/10/23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Emprunts!$K$15:$BF$15</c15:sqref>
                        </c15:fullRef>
                        <c15:formulaRef>
                          <c15:sqref>(Emprunts!$K$15:$T$15,Emprunts!$V$15,Emprunts!$X$15,Emprunts!$Z$15,Emprunts!$AB$15,Emprunts!$AD$15,Emprunts!$AF$15,Emprunts!$AH$15,Emprunts!$AJ$15,Emprunts!$AL$15,Emprunts!$AN$15,Emprunts!$AP$15,Emprunts!$AR$15,Emprunts!$AT$15,Emprunts!$AV$15,Emprunts!$AX$15,Emprunts!$AZ$15,Emprunts!$BB$15,Emprunts!$BD$15,Emprunts!$BF$15)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685859.27312744362</c:v>
                      </c:pt>
                      <c:pt idx="1">
                        <c:v>645315.15765550383</c:v>
                      </c:pt>
                      <c:pt idx="2">
                        <c:v>602873.59375698224</c:v>
                      </c:pt>
                      <c:pt idx="3">
                        <c:v>558445.78160261549</c:v>
                      </c:pt>
                      <c:pt idx="4">
                        <c:v>511938.76556656288</c:v>
                      </c:pt>
                      <c:pt idx="5">
                        <c:v>463255</c:v>
                      </c:pt>
                      <c:pt idx="6">
                        <c:v>412293</c:v>
                      </c:pt>
                      <c:pt idx="7">
                        <c:v>358946</c:v>
                      </c:pt>
                      <c:pt idx="8">
                        <c:v>303103</c:v>
                      </c:pt>
                      <c:pt idx="9">
                        <c:v>244646</c:v>
                      </c:pt>
                      <c:pt idx="10">
                        <c:v>183453</c:v>
                      </c:pt>
                      <c:pt idx="11">
                        <c:v>119397</c:v>
                      </c:pt>
                      <c:pt idx="12">
                        <c:v>52342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350-4C2F-8789-4C7B5CA46467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Emprunts!$B$16:$J$16</c15:sqref>
                        </c15:formulaRef>
                      </c:ext>
                    </c:extLst>
                    <c:strCache>
                      <c:ptCount val="9"/>
                      <c:pt idx="0">
                        <c:v> CE_SCI TAVERNY </c:v>
                      </c:pt>
                      <c:pt idx="1">
                        <c:v>9-TAVERNY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1 408 923 </c:v>
                      </c:pt>
                      <c:pt idx="6">
                        <c:v>4,93%</c:v>
                      </c:pt>
                      <c:pt idx="7">
                        <c:v>05/02/24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Emprunts!$K$16:$BF$16</c15:sqref>
                        </c15:fullRef>
                        <c15:formulaRef>
                          <c15:sqref>(Emprunts!$K$16:$T$16,Emprunts!$V$16,Emprunts!$X$16,Emprunts!$Z$16,Emprunts!$AB$16,Emprunts!$AD$16,Emprunts!$AF$16,Emprunts!$AH$16,Emprunts!$AJ$16,Emprunts!$AL$16,Emprunts!$AN$16,Emprunts!$AP$16,Emprunts!$AR$16,Emprunts!$AT$16,Emprunts!$AV$16,Emprunts!$AX$16,Emprunts!$AZ$16,Emprunts!$BB$16,Emprunts!$BD$16,Emprunts!$BF$16)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1357225.8547237345</c:v>
                      </c:pt>
                      <c:pt idx="1">
                        <c:v>1310489.8714441014</c:v>
                      </c:pt>
                      <c:pt idx="2">
                        <c:v>1261397.0218875192</c:v>
                      </c:pt>
                      <c:pt idx="3">
                        <c:v>1206315.7498224692</c:v>
                      </c:pt>
                      <c:pt idx="4">
                        <c:v>1147256.7632431318</c:v>
                      </c:pt>
                      <c:pt idx="5">
                        <c:v>1085219</c:v>
                      </c:pt>
                      <c:pt idx="6">
                        <c:v>1020054</c:v>
                      </c:pt>
                      <c:pt idx="7">
                        <c:v>951602</c:v>
                      </c:pt>
                      <c:pt idx="8">
                        <c:v>879698</c:v>
                      </c:pt>
                      <c:pt idx="9">
                        <c:v>804167</c:v>
                      </c:pt>
                      <c:pt idx="10">
                        <c:v>724828</c:v>
                      </c:pt>
                      <c:pt idx="11">
                        <c:v>641488</c:v>
                      </c:pt>
                      <c:pt idx="12">
                        <c:v>553945</c:v>
                      </c:pt>
                      <c:pt idx="13">
                        <c:v>461988</c:v>
                      </c:pt>
                      <c:pt idx="14">
                        <c:v>381824</c:v>
                      </c:pt>
                      <c:pt idx="15">
                        <c:v>263927</c:v>
                      </c:pt>
                      <c:pt idx="16">
                        <c:v>157343</c:v>
                      </c:pt>
                      <c:pt idx="17">
                        <c:v>45385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350-4C2F-8789-4C7B5CA46467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Emprunts!$B$17:$J$17</c15:sqref>
                        </c15:formulaRef>
                      </c:ext>
                    </c:extLst>
                    <c:strCache>
                      <c:ptCount val="9"/>
                      <c:pt idx="0">
                        <c:v> CE_SCI CHATOU </c:v>
                      </c:pt>
                      <c:pt idx="1">
                        <c:v>9-GJB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1 200 000 </c:v>
                      </c:pt>
                      <c:pt idx="6">
                        <c:v>5,10%</c:v>
                      </c:pt>
                      <c:pt idx="7">
                        <c:v>25/08/23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Emprunts!$K$17:$BF$17</c15:sqref>
                        </c15:fullRef>
                        <c15:formulaRef>
                          <c15:sqref>(Emprunts!$K$17:$T$17,Emprunts!$V$17,Emprunts!$X$17,Emprunts!$Z$17,Emprunts!$AB$17,Emprunts!$AD$17,Emprunts!$AF$17,Emprunts!$AH$17,Emprunts!$AJ$17,Emprunts!$AL$17,Emprunts!$AN$17,Emprunts!$AP$17,Emprunts!$AR$17,Emprunts!$AT$17,Emprunts!$AV$17,Emprunts!$AX$17,Emprunts!$AZ$17,Emprunts!$BB$17,Emprunts!$BD$17,Emprunts!$BF$17)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1092667.847572482</c:v>
                      </c:pt>
                      <c:pt idx="1">
                        <c:v>1032371.616965641</c:v>
                      </c:pt>
                      <c:pt idx="2">
                        <c:v>968927.36984069122</c:v>
                      </c:pt>
                      <c:pt idx="3">
                        <c:v>902170.75084907142</c:v>
                      </c:pt>
                      <c:pt idx="4">
                        <c:v>831928.82378489524</c:v>
                      </c:pt>
                      <c:pt idx="5">
                        <c:v>758020</c:v>
                      </c:pt>
                      <c:pt idx="6">
                        <c:v>680252</c:v>
                      </c:pt>
                      <c:pt idx="7">
                        <c:v>598424</c:v>
                      </c:pt>
                      <c:pt idx="8">
                        <c:v>512323</c:v>
                      </c:pt>
                      <c:pt idx="9">
                        <c:v>421728</c:v>
                      </c:pt>
                      <c:pt idx="10">
                        <c:v>326402</c:v>
                      </c:pt>
                      <c:pt idx="11">
                        <c:v>226100</c:v>
                      </c:pt>
                      <c:pt idx="12">
                        <c:v>120561</c:v>
                      </c:pt>
                      <c:pt idx="13">
                        <c:v>9512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350-4C2F-8789-4C7B5CA46467}"/>
                  </c:ext>
                </c:extLst>
              </c15:ser>
            </c15:filteredAreaSeries>
            <c15:filteredArea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Emprunts!$B$18:$J$18</c15:sqref>
                        </c15:formulaRef>
                      </c:ext>
                    </c:extLst>
                    <c:strCache>
                      <c:ptCount val="9"/>
                      <c:pt idx="0">
                        <c:v> LCL_SCI PLESSIS </c:v>
                      </c:pt>
                      <c:pt idx="1">
                        <c:v>9-GJB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740 000 </c:v>
                      </c:pt>
                      <c:pt idx="6">
                        <c:v>4,60%</c:v>
                      </c:pt>
                      <c:pt idx="7">
                        <c:v>30/07/24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Emprunts!$K$18:$BF$18</c15:sqref>
                        </c15:fullRef>
                        <c15:formulaRef>
                          <c15:sqref>(Emprunts!$K$18:$T$18,Emprunts!$V$18,Emprunts!$X$18,Emprunts!$Z$18,Emprunts!$AB$18,Emprunts!$AD$18,Emprunts!$AF$18,Emprunts!$AH$18,Emprunts!$AJ$18,Emprunts!$AL$18,Emprunts!$AN$18,Emprunts!$AP$18,Emprunts!$AR$18,Emprunts!$AT$18,Emprunts!$AV$18,Emprunts!$AX$18,Emprunts!$AZ$18,Emprunts!$BB$18,Emprunts!$BD$18,Emprunts!$BF$18)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686767.34036551241</c:v>
                      </c:pt>
                      <c:pt idx="1">
                        <c:v>649186.76537886821</c:v>
                      </c:pt>
                      <c:pt idx="2">
                        <c:v>609840.56729671638</c:v>
                      </c:pt>
                      <c:pt idx="3">
                        <c:v>568645.79302649479</c:v>
                      </c:pt>
                      <c:pt idx="4">
                        <c:v>525515.59214580816</c:v>
                      </c:pt>
                      <c:pt idx="5">
                        <c:v>480359</c:v>
                      </c:pt>
                      <c:pt idx="6">
                        <c:v>433081</c:v>
                      </c:pt>
                      <c:pt idx="7">
                        <c:v>383582</c:v>
                      </c:pt>
                      <c:pt idx="8">
                        <c:v>331757</c:v>
                      </c:pt>
                      <c:pt idx="9">
                        <c:v>277497</c:v>
                      </c:pt>
                      <c:pt idx="10">
                        <c:v>220688</c:v>
                      </c:pt>
                      <c:pt idx="11">
                        <c:v>161209</c:v>
                      </c:pt>
                      <c:pt idx="12">
                        <c:v>98937</c:v>
                      </c:pt>
                      <c:pt idx="13">
                        <c:v>33739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350-4C2F-8789-4C7B5CA46467}"/>
                  </c:ext>
                </c:extLst>
              </c15:ser>
            </c15:filteredAreaSeries>
            <c15:filteredArea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Emprunts!$B$19:$J$19</c15:sqref>
                        </c15:formulaRef>
                      </c:ext>
                    </c:extLst>
                    <c:strCache>
                      <c:ptCount val="9"/>
                      <c:pt idx="0">
                        <c:v> SG_SCI ALFORTVILLE </c:v>
                      </c:pt>
                      <c:pt idx="1">
                        <c:v>9-CHENNEVIERES</c:v>
                      </c:pt>
                      <c:pt idx="2">
                        <c:v> SG </c:v>
                      </c:pt>
                      <c:pt idx="4">
                        <c:v> 223 326 101 166 </c:v>
                      </c:pt>
                      <c:pt idx="5">
                        <c:v> 840 000 </c:v>
                      </c:pt>
                      <c:pt idx="6">
                        <c:v>4,53%</c:v>
                      </c:pt>
                      <c:pt idx="7">
                        <c:v>15/12/23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Emprunts!$K$19:$BF$19</c15:sqref>
                        </c15:fullRef>
                        <c15:formulaRef>
                          <c15:sqref>(Emprunts!$K$19:$T$19,Emprunts!$V$19,Emprunts!$X$19,Emprunts!$Z$19,Emprunts!$AB$19,Emprunts!$AD$19,Emprunts!$AF$19,Emprunts!$AH$19,Emprunts!$AJ$19,Emprunts!$AL$19,Emprunts!$AN$19,Emprunts!$AP$19,Emprunts!$AR$19,Emprunts!$AT$19,Emprunts!$AV$19,Emprunts!$AX$19,Emprunts!$AZ$19,Emprunts!$BB$19,Emprunts!$BD$19,Emprunts!$BF$19)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792256.82392726513</c:v>
                      </c:pt>
                      <c:pt idx="1">
                        <c:v>746061.55869565415</c:v>
                      </c:pt>
                      <c:pt idx="2">
                        <c:v>697729.64799698698</c:v>
                      </c:pt>
                      <c:pt idx="3">
                        <c:v>647162.26668481238</c:v>
                      </c:pt>
                      <c:pt idx="4">
                        <c:v>594256.01870481262</c:v>
                      </c:pt>
                      <c:pt idx="5">
                        <c:v>538903</c:v>
                      </c:pt>
                      <c:pt idx="6">
                        <c:v>480989</c:v>
                      </c:pt>
                      <c:pt idx="7">
                        <c:v>420397</c:v>
                      </c:pt>
                      <c:pt idx="8">
                        <c:v>357002</c:v>
                      </c:pt>
                      <c:pt idx="9">
                        <c:v>290675</c:v>
                      </c:pt>
                      <c:pt idx="10">
                        <c:v>221281</c:v>
                      </c:pt>
                      <c:pt idx="11">
                        <c:v>148677</c:v>
                      </c:pt>
                      <c:pt idx="12">
                        <c:v>72714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350-4C2F-8789-4C7B5CA46467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Emprunts!$B$20:$J$20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Emprunts!$K$20:$BF$20</c15:sqref>
                        </c15:fullRef>
                        <c15:formulaRef>
                          <c15:sqref>(Emprunts!$K$20:$T$20,Emprunts!$V$20,Emprunts!$X$20,Emprunts!$Z$20,Emprunts!$AB$20,Emprunts!$AD$20,Emprunts!$AF$20,Emprunts!$AH$20,Emprunts!$AJ$20,Emprunts!$AL$20,Emprunts!$AN$20,Emprunts!$AP$20,Emprunts!$AR$20,Emprunts!$AT$20,Emprunts!$AV$20,Emprunts!$AX$20,Emprunts!$AZ$20,Emprunts!$BB$20,Emprunts!$BD$20,Emprunts!$BF$20)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350-4C2F-8789-4C7B5CA46467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Emprunts!$B$21:$J$21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Emprunts!$K$21:$BF$21</c15:sqref>
                        </c15:fullRef>
                        <c15:formulaRef>
                          <c15:sqref>(Emprunts!$K$21:$T$21,Emprunts!$V$21,Emprunts!$X$21,Emprunts!$Z$21,Emprunts!$AB$21,Emprunts!$AD$21,Emprunts!$AF$21,Emprunts!$AH$21,Emprunts!$AJ$21,Emprunts!$AL$21,Emprunts!$AN$21,Emprunts!$AP$21,Emprunts!$AR$21,Emprunts!$AT$21,Emprunts!$AV$21,Emprunts!$AX$21,Emprunts!$AZ$21,Emprunts!$BB$21,Emprunts!$BD$21,Emprunts!$BF$21)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350-4C2F-8789-4C7B5CA46467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Emprunts!$B$22:$J$22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Emprunts!$K$22:$BF$22</c15:sqref>
                        </c15:fullRef>
                        <c15:formulaRef>
                          <c15:sqref>(Emprunts!$K$22:$T$22,Emprunts!$V$22,Emprunts!$X$22,Emprunts!$Z$22,Emprunts!$AB$22,Emprunts!$AD$22,Emprunts!$AF$22,Emprunts!$AH$22,Emprunts!$AJ$22,Emprunts!$AL$22,Emprunts!$AN$22,Emprunts!$AP$22,Emprunts!$AR$22,Emprunts!$AT$22,Emprunts!$AV$22,Emprunts!$AX$22,Emprunts!$AZ$22,Emprunts!$BB$22,Emprunts!$BD$22,Emprunts!$BF$22)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350-4C2F-8789-4C7B5CA46467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Emprunts!$B$23:$J$23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Emprunts!$K$23:$BF$23</c15:sqref>
                        </c15:fullRef>
                        <c15:formulaRef>
                          <c15:sqref>(Emprunts!$K$23:$T$23,Emprunts!$V$23,Emprunts!$X$23,Emprunts!$Z$23,Emprunts!$AB$23,Emprunts!$AD$23,Emprunts!$AF$23,Emprunts!$AH$23,Emprunts!$AJ$23,Emprunts!$AL$23,Emprunts!$AN$23,Emprunts!$AP$23,Emprunts!$AR$23,Emprunts!$AT$23,Emprunts!$AV$23,Emprunts!$AX$23,Emprunts!$AZ$23,Emprunts!$BB$23,Emprunts!$BD$23,Emprunts!$BF$23)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D350-4C2F-8789-4C7B5CA46467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Emprunts!$B$24:$J$24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16 030 513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Emprunts!$K$24:$BF$24</c15:sqref>
                        </c15:fullRef>
                        <c15:formulaRef>
                          <c15:sqref>(Emprunts!$K$24:$T$24,Emprunts!$V$24,Emprunts!$X$24,Emprunts!$Z$24,Emprunts!$AB$24,Emprunts!$AD$24,Emprunts!$AF$24,Emprunts!$AH$24,Emprunts!$AJ$24,Emprunts!$AL$24,Emprunts!$AN$24,Emprunts!$AP$24,Emprunts!$AR$24,Emprunts!$AT$24,Emprunts!$AV$24,Emprunts!$AX$24,Emprunts!$AZ$24,Emprunts!$BB$24,Emprunts!$BD$24,Emprunts!$BF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  <c:pt idx="12">
                        <c:v>5459707.1982055735</c:v>
                      </c:pt>
                      <c:pt idx="13">
                        <c:v>5459707.1982055735</c:v>
                      </c:pt>
                      <c:pt idx="14">
                        <c:v>5459707.1982055735</c:v>
                      </c:pt>
                      <c:pt idx="15">
                        <c:v>5459707.1982055735</c:v>
                      </c:pt>
                      <c:pt idx="16">
                        <c:v>5459707.1982055735</c:v>
                      </c:pt>
                      <c:pt idx="17">
                        <c:v>5459707.1982055735</c:v>
                      </c:pt>
                      <c:pt idx="18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D350-4C2F-8789-4C7B5CA46467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0"/>
          <c:order val="10"/>
          <c:tx>
            <c:strRef>
              <c:f>Emprunts!$B$15:$J$15</c:f>
              <c:strCache>
                <c:ptCount val="9"/>
                <c:pt idx="0">
                  <c:v> LCL_SCI CHENNEVIERES </c:v>
                </c:pt>
                <c:pt idx="1">
                  <c:v>9-CHENNEVIERES</c:v>
                </c:pt>
                <c:pt idx="2">
                  <c:v> LCL </c:v>
                </c:pt>
                <c:pt idx="4">
                  <c:v>23925728</c:v>
                </c:pt>
                <c:pt idx="5">
                  <c:v> 734 000 </c:v>
                </c:pt>
                <c:pt idx="6">
                  <c:v>4,60%</c:v>
                </c:pt>
                <c:pt idx="7">
                  <c:v>28/10/23</c:v>
                </c:pt>
              </c:strCache>
              <c:extLst xmlns:c15="http://schemas.microsoft.com/office/drawing/2012/chart"/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Emprunts!$K$15:$BF$15</c15:sqref>
                  </c15:fullRef>
                </c:ext>
              </c:extLst>
              <c:f>(Emprunts!$K$15:$T$15,Emprunts!$V$15,Emprunts!$X$15,Emprunts!$Z$15,Emprunts!$AB$15,Emprunts!$AD$15,Emprunts!$AF$15,Emprunts!$AH$15,Emprunts!$AJ$15,Emprunts!$AL$15,Emprunts!$AN$15,Emprunts!$AP$15,Emprunts!$AR$15,Emprunts!$AT$15,Emprunts!$AV$15,Emprunts!$AX$15,Emprunts!$AZ$15,Emprunts!$BB$15,Emprunts!$BD$15,Emprunts!$BF$15)</c:f>
              <c:numCache>
                <c:formatCode>_-* #\ ##0_-;\-* #\ ##0_-;_-* "-"??_-;_-@_-</c:formatCode>
                <c:ptCount val="19"/>
                <c:pt idx="0">
                  <c:v>685859.27312744362</c:v>
                </c:pt>
                <c:pt idx="1">
                  <c:v>645315.15765550383</c:v>
                </c:pt>
                <c:pt idx="2">
                  <c:v>602873.59375698224</c:v>
                </c:pt>
                <c:pt idx="3">
                  <c:v>558445.78160261549</c:v>
                </c:pt>
                <c:pt idx="4">
                  <c:v>511938.76556656288</c:v>
                </c:pt>
                <c:pt idx="5">
                  <c:v>463255</c:v>
                </c:pt>
                <c:pt idx="6">
                  <c:v>412293</c:v>
                </c:pt>
                <c:pt idx="7">
                  <c:v>358946</c:v>
                </c:pt>
                <c:pt idx="8">
                  <c:v>303103</c:v>
                </c:pt>
                <c:pt idx="9">
                  <c:v>244646</c:v>
                </c:pt>
                <c:pt idx="10">
                  <c:v>183453</c:v>
                </c:pt>
                <c:pt idx="11">
                  <c:v>119397</c:v>
                </c:pt>
                <c:pt idx="12">
                  <c:v>52342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AB0A-4862-A582-08D32E20E74C}"/>
            </c:ext>
          </c:extLst>
        </c:ser>
        <c:ser>
          <c:idx val="14"/>
          <c:order val="14"/>
          <c:tx>
            <c:strRef>
              <c:f>Emprunts!$B$19:$J$19</c:f>
              <c:strCache>
                <c:ptCount val="9"/>
                <c:pt idx="0">
                  <c:v> SG_SCI ALFORTVILLE </c:v>
                </c:pt>
                <c:pt idx="1">
                  <c:v>9-CHENNEVIERES</c:v>
                </c:pt>
                <c:pt idx="2">
                  <c:v> SG </c:v>
                </c:pt>
                <c:pt idx="4">
                  <c:v> 223 326 101 166 </c:v>
                </c:pt>
                <c:pt idx="5">
                  <c:v> 840 000 </c:v>
                </c:pt>
                <c:pt idx="6">
                  <c:v>4,53%</c:v>
                </c:pt>
                <c:pt idx="7">
                  <c:v>15/12/23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Emprunts!$K$19:$BF$19</c15:sqref>
                  </c15:fullRef>
                </c:ext>
              </c:extLst>
              <c:f>(Emprunts!$K$19:$T$19,Emprunts!$V$19,Emprunts!$X$19,Emprunts!$Z$19,Emprunts!$AB$19,Emprunts!$AD$19,Emprunts!$AF$19,Emprunts!$AH$19,Emprunts!$AJ$19,Emprunts!$AL$19,Emprunts!$AN$19,Emprunts!$AP$19,Emprunts!$AR$19,Emprunts!$AT$19,Emprunts!$AV$19,Emprunts!$AX$19,Emprunts!$AZ$19,Emprunts!$BB$19,Emprunts!$BD$19,Emprunts!$BF$19)</c:f>
              <c:numCache>
                <c:formatCode>_-* #\ ##0_-;\-* #\ ##0_-;_-* "-"??_-;_-@_-</c:formatCode>
                <c:ptCount val="19"/>
                <c:pt idx="0">
                  <c:v>792256.82392726513</c:v>
                </c:pt>
                <c:pt idx="1">
                  <c:v>746061.55869565415</c:v>
                </c:pt>
                <c:pt idx="2">
                  <c:v>697729.64799698698</c:v>
                </c:pt>
                <c:pt idx="3">
                  <c:v>647162.26668481238</c:v>
                </c:pt>
                <c:pt idx="4">
                  <c:v>594256.01870481262</c:v>
                </c:pt>
                <c:pt idx="5">
                  <c:v>538903</c:v>
                </c:pt>
                <c:pt idx="6">
                  <c:v>480989</c:v>
                </c:pt>
                <c:pt idx="7">
                  <c:v>420397</c:v>
                </c:pt>
                <c:pt idx="8">
                  <c:v>357002</c:v>
                </c:pt>
                <c:pt idx="9">
                  <c:v>290675</c:v>
                </c:pt>
                <c:pt idx="10">
                  <c:v>221281</c:v>
                </c:pt>
                <c:pt idx="11">
                  <c:v>148677</c:v>
                </c:pt>
                <c:pt idx="12">
                  <c:v>72714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AB0A-4862-A582-08D32E20E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Emprunts!$B$5:$J$5</c15:sqref>
                        </c15:formulaRef>
                      </c:ext>
                    </c:extLst>
                    <c:strCache>
                      <c:ptCount val="9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435 000 </c:v>
                      </c:pt>
                      <c:pt idx="6">
                        <c:v>1,30%</c:v>
                      </c:pt>
                      <c:pt idx="7">
                        <c:v>05/11/20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Emprunts!$K$5:$BF$5</c15:sqref>
                        </c15:fullRef>
                        <c15:formulaRef>
                          <c15:sqref>(Emprunts!$K$5:$T$5,Emprunts!$V$5,Emprunts!$X$5,Emprunts!$Z$5,Emprunts!$AB$5,Emprunts!$AD$5,Emprunts!$AF$5,Emprunts!$AH$5,Emprunts!$AJ$5,Emprunts!$AL$5,Emprunts!$AN$5,Emprunts!$AP$5,Emprunts!$AR$5,Emprunts!$AT$5,Emprunts!$AV$5,Emprunts!$AX$5,Emprunts!$AZ$5,Emprunts!$BB$5,Emprunts!$BD$5,Emprunts!$BF$5)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2.8812288073822856E-3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B0A-4862-A582-08D32E20E74C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Emprunts!$B$6:$J$6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409 000 </c:v>
                      </c:pt>
                      <c:pt idx="6">
                        <c:v>1,35%</c:v>
                      </c:pt>
                      <c:pt idx="7">
                        <c:v>05/04/22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Emprunts!$K$6:$BF$6</c15:sqref>
                        </c15:fullRef>
                        <c15:formulaRef>
                          <c15:sqref>(Emprunts!$K$6:$T$6,Emprunts!$V$6,Emprunts!$X$6,Emprunts!$Z$6,Emprunts!$AB$6,Emprunts!$AD$6,Emprunts!$AF$6,Emprunts!$AH$6,Emprunts!$AJ$6,Emprunts!$AL$6,Emprunts!$AN$6,Emprunts!$AP$6,Emprunts!$AR$6,Emprunts!$AT$6,Emprunts!$AV$6,Emprunts!$AX$6,Emprunts!$AZ$6,Emprunts!$BB$6,Emprunts!$BD$6,Emprunts!$BF$6)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305556.77369127376</c:v>
                      </c:pt>
                      <c:pt idx="1">
                        <c:v>277076.47760202223</c:v>
                      </c:pt>
                      <c:pt idx="2">
                        <c:v>248209.30957698025</c:v>
                      </c:pt>
                      <c:pt idx="3">
                        <c:v>218950.01440762632</c:v>
                      </c:pt>
                      <c:pt idx="4">
                        <c:v>189293.2654994996</c:v>
                      </c:pt>
                      <c:pt idx="5">
                        <c:v>159234</c:v>
                      </c:pt>
                      <c:pt idx="6">
                        <c:v>128766</c:v>
                      </c:pt>
                      <c:pt idx="7">
                        <c:v>97884</c:v>
                      </c:pt>
                      <c:pt idx="8">
                        <c:v>66583</c:v>
                      </c:pt>
                      <c:pt idx="9">
                        <c:v>34856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B0A-4862-A582-08D32E20E74C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Emprunts!$B$7:$J$7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220154G</c:v>
                      </c:pt>
                      <c:pt idx="5">
                        <c:v> 1 515 000 </c:v>
                      </c:pt>
                      <c:pt idx="6">
                        <c:v>1,35%</c:v>
                      </c:pt>
                      <c:pt idx="7">
                        <c:v>10/09/22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Emprunts!$K$7:$BF$7</c15:sqref>
                        </c15:fullRef>
                        <c15:formulaRef>
                          <c15:sqref>(Emprunts!$K$7:$T$7,Emprunts!$V$7,Emprunts!$X$7,Emprunts!$Z$7,Emprunts!$AB$7,Emprunts!$AD$7,Emprunts!$AF$7,Emprunts!$AH$7,Emprunts!$AJ$7,Emprunts!$AL$7,Emprunts!$AN$7,Emprunts!$AP$7,Emprunts!$AR$7,Emprunts!$AT$7,Emprunts!$AV$7,Emprunts!$AX$7,Emprunts!$AZ$7,Emprunts!$BB$7,Emprunts!$BD$7,Emprunts!$BF$7)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1175368.7829993453</c:v>
                      </c:pt>
                      <c:pt idx="1">
                        <c:v>1070464.9101257892</c:v>
                      </c:pt>
                      <c:pt idx="2">
                        <c:v>964136.03927316284</c:v>
                      </c:pt>
                      <c:pt idx="3">
                        <c:v>856362.81348938483</c:v>
                      </c:pt>
                      <c:pt idx="4">
                        <c:v>747125.61288053193</c:v>
                      </c:pt>
                      <c:pt idx="5">
                        <c:v>636405</c:v>
                      </c:pt>
                      <c:pt idx="6">
                        <c:v>524179</c:v>
                      </c:pt>
                      <c:pt idx="7">
                        <c:v>410430</c:v>
                      </c:pt>
                      <c:pt idx="8">
                        <c:v>295135</c:v>
                      </c:pt>
                      <c:pt idx="9">
                        <c:v>178274</c:v>
                      </c:pt>
                      <c:pt idx="10">
                        <c:v>59826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B0A-4862-A582-08D32E20E74C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Emprunts!$B$8:$J$8</c15:sqref>
                        </c15:formulaRef>
                      </c:ext>
                    </c:extLst>
                    <c:strCache>
                      <c:ptCount val="9"/>
                      <c:pt idx="0">
                        <c:v> SG_SCI 34 HAUTE </c:v>
                      </c:pt>
                      <c:pt idx="1">
                        <c:v>9-HAUTE</c:v>
                      </c:pt>
                      <c:pt idx="2">
                        <c:v> SG </c:v>
                      </c:pt>
                      <c:pt idx="4">
                        <c:v>2,25003E+11</c:v>
                      </c:pt>
                      <c:pt idx="5">
                        <c:v> 350 000 </c:v>
                      </c:pt>
                      <c:pt idx="6">
                        <c:v>3,53%</c:v>
                      </c:pt>
                      <c:pt idx="7">
                        <c:v>13/02/25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Emprunts!$K$8:$BF$8</c15:sqref>
                        </c15:fullRef>
                        <c15:formulaRef>
                          <c15:sqref>(Emprunts!$K$8:$T$8,Emprunts!$V$8,Emprunts!$X$8,Emprunts!$Z$8,Emprunts!$AB$8,Emprunts!$AD$8,Emprunts!$AF$8,Emprunts!$AH$8,Emprunts!$AJ$8,Emprunts!$AL$8,Emprunts!$AN$8,Emprunts!$AP$8,Emprunts!$AR$8,Emprunts!$AT$8,Emprunts!$AV$8,Emprunts!$AX$8,Emprunts!$AZ$8,Emprunts!$BB$8,Emprunts!$BD$8,Emprunts!$BF$8)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308928.84723423043</c:v>
                      </c:pt>
                      <c:pt idx="1">
                        <c:v>262584.23018713825</c:v>
                      </c:pt>
                      <c:pt idx="2">
                        <c:v>214576.91834340864</c:v>
                      </c:pt>
                      <c:pt idx="3">
                        <c:v>164847.25959751342</c:v>
                      </c:pt>
                      <c:pt idx="4">
                        <c:v>113333.46171953013</c:v>
                      </c:pt>
                      <c:pt idx="5">
                        <c:v>59972</c:v>
                      </c:pt>
                      <c:pt idx="6">
                        <c:v>4965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B0A-4862-A582-08D32E20E74C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Emprunts!$B$9:$J$9</c15:sqref>
                        </c15:formulaRef>
                      </c:ext>
                    </c:extLst>
                    <c:strCache>
                      <c:ptCount val="9"/>
                      <c:pt idx="0">
                        <c:v> BNP_SCI LEGRAND </c:v>
                      </c:pt>
                      <c:pt idx="1">
                        <c:v>9-LEGRAND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239 978 </c:v>
                      </c:pt>
                      <c:pt idx="6">
                        <c:v>1,00%</c:v>
                      </c:pt>
                      <c:pt idx="7">
                        <c:v>18/01/18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Emprunts!$K$9:$BF$9</c15:sqref>
                        </c15:fullRef>
                        <c15:formulaRef>
                          <c15:sqref>(Emprunts!$K$9:$T$9,Emprunts!$V$9,Emprunts!$X$9,Emprunts!$Z$9,Emprunts!$AB$9,Emprunts!$AD$9,Emprunts!$AF$9,Emprunts!$AH$9,Emprunts!$AJ$9,Emprunts!$AL$9,Emprunts!$AN$9,Emprunts!$AP$9,Emprunts!$AR$9,Emprunts!$AT$9,Emprunts!$AV$9,Emprunts!$AX$9,Emprunts!$AZ$9,Emprunts!$BB$9,Emprunts!$BD$9,Emprunts!$BF$9)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5217.0699999996341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B0A-4862-A582-08D32E20E74C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Emprunts!$B$10:$J$10</c15:sqref>
                        </c15:formulaRef>
                      </c:ext>
                    </c:extLst>
                    <c:strCache>
                      <c:ptCount val="9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1 600 000 </c:v>
                      </c:pt>
                      <c:pt idx="6">
                        <c:v>1,50%</c:v>
                      </c:pt>
                      <c:pt idx="7">
                        <c:v>01/01/18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Emprunts!$K$10:$BF$10</c15:sqref>
                        </c15:fullRef>
                        <c15:formulaRef>
                          <c15:sqref>(Emprunts!$K$10:$T$10,Emprunts!$V$10,Emprunts!$X$10,Emprunts!$Z$10,Emprunts!$AB$10,Emprunts!$AD$10,Emprunts!$AF$10,Emprunts!$AH$10,Emprunts!$AJ$10,Emprunts!$AL$10,Emprunts!$AN$10,Emprunts!$AP$10,Emprunts!$AR$10,Emprunts!$AT$10,Emprunts!$AV$10,Emprunts!$AX$10,Emprunts!$AZ$10,Emprunts!$BB$10,Emprunts!$BD$10,Emprunts!$BF$10)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B0A-4862-A582-08D32E20E74C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Emprunts!$B$11:$J$11</c15:sqref>
                        </c15:formulaRef>
                      </c:ext>
                    </c:extLst>
                    <c:strCache>
                      <c:ptCount val="9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1 350 000 </c:v>
                      </c:pt>
                      <c:pt idx="6">
                        <c:v>2,08%</c:v>
                      </c:pt>
                      <c:pt idx="7">
                        <c:v>28/05/17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Emprunts!$K$11:$BF$11</c15:sqref>
                        </c15:fullRef>
                        <c15:formulaRef>
                          <c15:sqref>(Emprunts!$K$11:$T$11,Emprunts!$V$11,Emprunts!$X$11,Emprunts!$Z$11,Emprunts!$AB$11,Emprunts!$AD$11,Emprunts!$AF$11,Emprunts!$AH$11,Emprunts!$AJ$11,Emprunts!$AL$11,Emprunts!$AN$11,Emprunts!$AP$11,Emprunts!$AR$11,Emprunts!$AT$11,Emprunts!$AV$11,Emprunts!$AX$11,Emprunts!$AZ$11,Emprunts!$BB$11,Emprunts!$BD$11,Emprunts!$BF$11)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B0A-4862-A582-08D32E20E74C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Emprunts!$B$12:$J$12</c15:sqref>
                        </c15:formulaRef>
                      </c:ext>
                    </c:extLst>
                    <c:strCache>
                      <c:ptCount val="9"/>
                      <c:pt idx="0">
                        <c:v> SG_SCI LEGRAND </c:v>
                      </c:pt>
                      <c:pt idx="1">
                        <c:v>9-LEGRAND</c:v>
                      </c:pt>
                      <c:pt idx="2">
                        <c:v> SG </c:v>
                      </c:pt>
                      <c:pt idx="4">
                        <c:v>0</c:v>
                      </c:pt>
                      <c:pt idx="5">
                        <c:v> 780 000 </c:v>
                      </c:pt>
                      <c:pt idx="6">
                        <c:v>1,89%</c:v>
                      </c:pt>
                      <c:pt idx="7">
                        <c:v>03/08/18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Emprunts!$K$12:$BF$12</c15:sqref>
                        </c15:fullRef>
                        <c15:formulaRef>
                          <c15:sqref>(Emprunts!$K$12:$T$12,Emprunts!$V$12,Emprunts!$X$12,Emprunts!$Z$12,Emprunts!$AB$12,Emprunts!$AD$12,Emprunts!$AF$12,Emprunts!$AH$12,Emprunts!$AJ$12,Emprunts!$AL$12,Emprunts!$AN$12,Emprunts!$AP$12,Emprunts!$AR$12,Emprunts!$AT$12,Emprunts!$AV$12,Emprunts!$AX$12,Emprunts!$AZ$12,Emprunts!$BB$12,Emprunts!$BD$12,Emprunts!$BF$12)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421888.90549874143</c:v>
                      </c:pt>
                      <c:pt idx="1">
                        <c:v>369652.16752447974</c:v>
                      </c:pt>
                      <c:pt idx="2">
                        <c:v>316419.55787956738</c:v>
                      </c:pt>
                      <c:pt idx="3">
                        <c:v>262172.09068504494</c:v>
                      </c:pt>
                      <c:pt idx="4">
                        <c:v>206890.41810407222</c:v>
                      </c:pt>
                      <c:pt idx="5">
                        <c:v>150155</c:v>
                      </c:pt>
                      <c:pt idx="6">
                        <c:v>93145</c:v>
                      </c:pt>
                      <c:pt idx="7">
                        <c:v>34641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B0A-4862-A582-08D32E20E74C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Emprunts!$B$13:$J$13</c15:sqref>
                        </c15:formulaRef>
                      </c:ext>
                    </c:extLst>
                    <c:strCache>
                      <c:ptCount val="9"/>
                      <c:pt idx="0">
                        <c:v> CA_SCI ORIENT </c:v>
                      </c:pt>
                      <c:pt idx="1">
                        <c:v>9-ORIENT</c:v>
                      </c:pt>
                      <c:pt idx="2">
                        <c:v> CA </c:v>
                      </c:pt>
                      <c:pt idx="4">
                        <c:v>0</c:v>
                      </c:pt>
                      <c:pt idx="5">
                        <c:v> 665 000 </c:v>
                      </c:pt>
                      <c:pt idx="6">
                        <c:v>1,40%</c:v>
                      </c:pt>
                      <c:pt idx="7">
                        <c:v>05/04/23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Emprunts!$K$13:$BF$13</c15:sqref>
                        </c15:fullRef>
                        <c15:formulaRef>
                          <c15:sqref>(Emprunts!$K$13:$T$13,Emprunts!$V$13,Emprunts!$X$13,Emprunts!$Z$13,Emprunts!$AB$13,Emprunts!$AD$13,Emprunts!$AF$13,Emprunts!$AH$13,Emprunts!$AJ$13,Emprunts!$AL$13,Emprunts!$AN$13,Emprunts!$AP$13,Emprunts!$AR$13,Emprunts!$AT$13,Emprunts!$AV$13,Emprunts!$AX$13,Emprunts!$AZ$13,Emprunts!$BB$13,Emprunts!$BD$13,Emprunts!$BF$13)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553109.81484609994</c:v>
                      </c:pt>
                      <c:pt idx="1">
                        <c:v>511333.5249373964</c:v>
                      </c:pt>
                      <c:pt idx="2">
                        <c:v>468968.59943358751</c:v>
                      </c:pt>
                      <c:pt idx="3">
                        <c:v>426006.74435106228</c:v>
                      </c:pt>
                      <c:pt idx="4">
                        <c:v>382439.54884245817</c:v>
                      </c:pt>
                      <c:pt idx="5">
                        <c:v>338258</c:v>
                      </c:pt>
                      <c:pt idx="6">
                        <c:v>293455</c:v>
                      </c:pt>
                      <c:pt idx="7">
                        <c:v>248020</c:v>
                      </c:pt>
                      <c:pt idx="8">
                        <c:v>201945</c:v>
                      </c:pt>
                      <c:pt idx="9">
                        <c:v>155221</c:v>
                      </c:pt>
                      <c:pt idx="10">
                        <c:v>107838</c:v>
                      </c:pt>
                      <c:pt idx="11">
                        <c:v>59788</c:v>
                      </c:pt>
                      <c:pt idx="12">
                        <c:v>11061</c:v>
                      </c:pt>
                      <c:pt idx="13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B0A-4862-A582-08D32E20E74C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Emprunts!$B$14:$J$14</c15:sqref>
                        </c15:formulaRef>
                      </c:ext>
                    </c:extLst>
                    <c:strCache>
                      <c:ptCount val="9"/>
                      <c:pt idx="0">
                        <c:v> LCL_SCI ORIENT </c:v>
                      </c:pt>
                      <c:pt idx="1">
                        <c:v>9-ORIENT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377 612 </c:v>
                      </c:pt>
                      <c:pt idx="6">
                        <c:v>1,80%</c:v>
                      </c:pt>
                      <c:pt idx="7">
                        <c:v>07/02/23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Emprunts!$K$14:$BF$14</c15:sqref>
                        </c15:fullRef>
                        <c15:formulaRef>
                          <c15:sqref>(Emprunts!$K$14:$T$14,Emprunts!$V$14,Emprunts!$X$14,Emprunts!$Z$14,Emprunts!$AB$14,Emprunts!$AD$14,Emprunts!$AF$14,Emprunts!$AH$14,Emprunts!$AJ$14,Emprunts!$AL$14,Emprunts!$AN$14,Emprunts!$AP$14,Emprunts!$AR$14,Emprunts!$AT$14,Emprunts!$AV$14,Emprunts!$AX$14,Emprunts!$AZ$14,Emprunts!$BB$14,Emprunts!$BD$14,Emprunts!$BF$14)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309355.54274141247</c:v>
                      </c:pt>
                      <c:pt idx="1">
                        <c:v>285116.7821471584</c:v>
                      </c:pt>
                      <c:pt idx="2">
                        <c:v>260438.10634809287</c:v>
                      </c:pt>
                      <c:pt idx="3">
                        <c:v>235311.53121537936</c:v>
                      </c:pt>
                      <c:pt idx="4">
                        <c:v>209728.9277142708</c:v>
                      </c:pt>
                      <c:pt idx="5">
                        <c:v>183682</c:v>
                      </c:pt>
                      <c:pt idx="6">
                        <c:v>157162</c:v>
                      </c:pt>
                      <c:pt idx="7">
                        <c:v>130161</c:v>
                      </c:pt>
                      <c:pt idx="8">
                        <c:v>102670</c:v>
                      </c:pt>
                      <c:pt idx="9">
                        <c:v>74680</c:v>
                      </c:pt>
                      <c:pt idx="10">
                        <c:v>46183</c:v>
                      </c:pt>
                      <c:pt idx="11">
                        <c:v>17167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B0A-4862-A582-08D32E20E74C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Emprunts!$B$16:$J$16</c15:sqref>
                        </c15:formulaRef>
                      </c:ext>
                    </c:extLst>
                    <c:strCache>
                      <c:ptCount val="9"/>
                      <c:pt idx="0">
                        <c:v> CE_SCI TAVERNY </c:v>
                      </c:pt>
                      <c:pt idx="1">
                        <c:v>9-TAVERNY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1 408 923 </c:v>
                      </c:pt>
                      <c:pt idx="6">
                        <c:v>4,93%</c:v>
                      </c:pt>
                      <c:pt idx="7">
                        <c:v>05/02/24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Emprunts!$K$16:$BF$16</c15:sqref>
                        </c15:fullRef>
                        <c15:formulaRef>
                          <c15:sqref>(Emprunts!$K$16:$T$16,Emprunts!$V$16,Emprunts!$X$16,Emprunts!$Z$16,Emprunts!$AB$16,Emprunts!$AD$16,Emprunts!$AF$16,Emprunts!$AH$16,Emprunts!$AJ$16,Emprunts!$AL$16,Emprunts!$AN$16,Emprunts!$AP$16,Emprunts!$AR$16,Emprunts!$AT$16,Emprunts!$AV$16,Emprunts!$AX$16,Emprunts!$AZ$16,Emprunts!$BB$16,Emprunts!$BD$16,Emprunts!$BF$16)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1357225.8547237345</c:v>
                      </c:pt>
                      <c:pt idx="1">
                        <c:v>1310489.8714441014</c:v>
                      </c:pt>
                      <c:pt idx="2">
                        <c:v>1261397.0218875192</c:v>
                      </c:pt>
                      <c:pt idx="3">
                        <c:v>1206315.7498224692</c:v>
                      </c:pt>
                      <c:pt idx="4">
                        <c:v>1147256.7632431318</c:v>
                      </c:pt>
                      <c:pt idx="5">
                        <c:v>1085219</c:v>
                      </c:pt>
                      <c:pt idx="6">
                        <c:v>1020054</c:v>
                      </c:pt>
                      <c:pt idx="7">
                        <c:v>951602</c:v>
                      </c:pt>
                      <c:pt idx="8">
                        <c:v>879698</c:v>
                      </c:pt>
                      <c:pt idx="9">
                        <c:v>804167</c:v>
                      </c:pt>
                      <c:pt idx="10">
                        <c:v>724828</c:v>
                      </c:pt>
                      <c:pt idx="11">
                        <c:v>641488</c:v>
                      </c:pt>
                      <c:pt idx="12">
                        <c:v>553945</c:v>
                      </c:pt>
                      <c:pt idx="13">
                        <c:v>461988</c:v>
                      </c:pt>
                      <c:pt idx="14">
                        <c:v>381824</c:v>
                      </c:pt>
                      <c:pt idx="15">
                        <c:v>263927</c:v>
                      </c:pt>
                      <c:pt idx="16">
                        <c:v>157343</c:v>
                      </c:pt>
                      <c:pt idx="17">
                        <c:v>45385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B0A-4862-A582-08D32E20E74C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Emprunts!$B$17:$J$17</c15:sqref>
                        </c15:formulaRef>
                      </c:ext>
                    </c:extLst>
                    <c:strCache>
                      <c:ptCount val="9"/>
                      <c:pt idx="0">
                        <c:v> CE_SCI CHATOU </c:v>
                      </c:pt>
                      <c:pt idx="1">
                        <c:v>9-GJB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1 200 000 </c:v>
                      </c:pt>
                      <c:pt idx="6">
                        <c:v>5,10%</c:v>
                      </c:pt>
                      <c:pt idx="7">
                        <c:v>25/08/23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Emprunts!$K$17:$BF$17</c15:sqref>
                        </c15:fullRef>
                        <c15:formulaRef>
                          <c15:sqref>(Emprunts!$K$17:$T$17,Emprunts!$V$17,Emprunts!$X$17,Emprunts!$Z$17,Emprunts!$AB$17,Emprunts!$AD$17,Emprunts!$AF$17,Emprunts!$AH$17,Emprunts!$AJ$17,Emprunts!$AL$17,Emprunts!$AN$17,Emprunts!$AP$17,Emprunts!$AR$17,Emprunts!$AT$17,Emprunts!$AV$17,Emprunts!$AX$17,Emprunts!$AZ$17,Emprunts!$BB$17,Emprunts!$BD$17,Emprunts!$BF$17)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1092667.847572482</c:v>
                      </c:pt>
                      <c:pt idx="1">
                        <c:v>1032371.616965641</c:v>
                      </c:pt>
                      <c:pt idx="2">
                        <c:v>968927.36984069122</c:v>
                      </c:pt>
                      <c:pt idx="3">
                        <c:v>902170.75084907142</c:v>
                      </c:pt>
                      <c:pt idx="4">
                        <c:v>831928.82378489524</c:v>
                      </c:pt>
                      <c:pt idx="5">
                        <c:v>758020</c:v>
                      </c:pt>
                      <c:pt idx="6">
                        <c:v>680252</c:v>
                      </c:pt>
                      <c:pt idx="7">
                        <c:v>598424</c:v>
                      </c:pt>
                      <c:pt idx="8">
                        <c:v>512323</c:v>
                      </c:pt>
                      <c:pt idx="9">
                        <c:v>421728</c:v>
                      </c:pt>
                      <c:pt idx="10">
                        <c:v>326402</c:v>
                      </c:pt>
                      <c:pt idx="11">
                        <c:v>226100</c:v>
                      </c:pt>
                      <c:pt idx="12">
                        <c:v>120561</c:v>
                      </c:pt>
                      <c:pt idx="13">
                        <c:v>9512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B0A-4862-A582-08D32E20E74C}"/>
                  </c:ext>
                </c:extLst>
              </c15:ser>
            </c15:filteredAreaSeries>
            <c15:filteredArea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Emprunts!$B$18:$J$18</c15:sqref>
                        </c15:formulaRef>
                      </c:ext>
                    </c:extLst>
                    <c:strCache>
                      <c:ptCount val="9"/>
                      <c:pt idx="0">
                        <c:v> LCL_SCI PLESSIS </c:v>
                      </c:pt>
                      <c:pt idx="1">
                        <c:v>9-GJB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740 000 </c:v>
                      </c:pt>
                      <c:pt idx="6">
                        <c:v>4,60%</c:v>
                      </c:pt>
                      <c:pt idx="7">
                        <c:v>30/07/24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Emprunts!$K$18:$BF$18</c15:sqref>
                        </c15:fullRef>
                        <c15:formulaRef>
                          <c15:sqref>(Emprunts!$K$18:$T$18,Emprunts!$V$18,Emprunts!$X$18,Emprunts!$Z$18,Emprunts!$AB$18,Emprunts!$AD$18,Emprunts!$AF$18,Emprunts!$AH$18,Emprunts!$AJ$18,Emprunts!$AL$18,Emprunts!$AN$18,Emprunts!$AP$18,Emprunts!$AR$18,Emprunts!$AT$18,Emprunts!$AV$18,Emprunts!$AX$18,Emprunts!$AZ$18,Emprunts!$BB$18,Emprunts!$BD$18,Emprunts!$BF$18)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686767.34036551241</c:v>
                      </c:pt>
                      <c:pt idx="1">
                        <c:v>649186.76537886821</c:v>
                      </c:pt>
                      <c:pt idx="2">
                        <c:v>609840.56729671638</c:v>
                      </c:pt>
                      <c:pt idx="3">
                        <c:v>568645.79302649479</c:v>
                      </c:pt>
                      <c:pt idx="4">
                        <c:v>525515.59214580816</c:v>
                      </c:pt>
                      <c:pt idx="5">
                        <c:v>480359</c:v>
                      </c:pt>
                      <c:pt idx="6">
                        <c:v>433081</c:v>
                      </c:pt>
                      <c:pt idx="7">
                        <c:v>383582</c:v>
                      </c:pt>
                      <c:pt idx="8">
                        <c:v>331757</c:v>
                      </c:pt>
                      <c:pt idx="9">
                        <c:v>277497</c:v>
                      </c:pt>
                      <c:pt idx="10">
                        <c:v>220688</c:v>
                      </c:pt>
                      <c:pt idx="11">
                        <c:v>161209</c:v>
                      </c:pt>
                      <c:pt idx="12">
                        <c:v>98937</c:v>
                      </c:pt>
                      <c:pt idx="13">
                        <c:v>33739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B0A-4862-A582-08D32E20E74C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Emprunts!$B$20:$J$20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Emprunts!$K$20:$BF$20</c15:sqref>
                        </c15:fullRef>
                        <c15:formulaRef>
                          <c15:sqref>(Emprunts!$K$20:$T$20,Emprunts!$V$20,Emprunts!$X$20,Emprunts!$Z$20,Emprunts!$AB$20,Emprunts!$AD$20,Emprunts!$AF$20,Emprunts!$AH$20,Emprunts!$AJ$20,Emprunts!$AL$20,Emprunts!$AN$20,Emprunts!$AP$20,Emprunts!$AR$20,Emprunts!$AT$20,Emprunts!$AV$20,Emprunts!$AX$20,Emprunts!$AZ$20,Emprunts!$BB$20,Emprunts!$BD$20,Emprunts!$BF$20)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B0A-4862-A582-08D32E20E74C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Emprunts!$B$21:$J$21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Emprunts!$K$21:$BF$21</c15:sqref>
                        </c15:fullRef>
                        <c15:formulaRef>
                          <c15:sqref>(Emprunts!$K$21:$T$21,Emprunts!$V$21,Emprunts!$X$21,Emprunts!$Z$21,Emprunts!$AB$21,Emprunts!$AD$21,Emprunts!$AF$21,Emprunts!$AH$21,Emprunts!$AJ$21,Emprunts!$AL$21,Emprunts!$AN$21,Emprunts!$AP$21,Emprunts!$AR$21,Emprunts!$AT$21,Emprunts!$AV$21,Emprunts!$AX$21,Emprunts!$AZ$21,Emprunts!$BB$21,Emprunts!$BD$21,Emprunts!$BF$21)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B0A-4862-A582-08D32E20E74C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Emprunts!$B$22:$J$22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Emprunts!$K$22:$BF$22</c15:sqref>
                        </c15:fullRef>
                        <c15:formulaRef>
                          <c15:sqref>(Emprunts!$K$22:$T$22,Emprunts!$V$22,Emprunts!$X$22,Emprunts!$Z$22,Emprunts!$AB$22,Emprunts!$AD$22,Emprunts!$AF$22,Emprunts!$AH$22,Emprunts!$AJ$22,Emprunts!$AL$22,Emprunts!$AN$22,Emprunts!$AP$22,Emprunts!$AR$22,Emprunts!$AT$22,Emprunts!$AV$22,Emprunts!$AX$22,Emprunts!$AZ$22,Emprunts!$BB$22,Emprunts!$BD$22,Emprunts!$BF$22)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B0A-4862-A582-08D32E20E74C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Emprunts!$B$23:$J$23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Emprunts!$K$23:$BF$23</c15:sqref>
                        </c15:fullRef>
                        <c15:formulaRef>
                          <c15:sqref>(Emprunts!$K$23:$T$23,Emprunts!$V$23,Emprunts!$X$23,Emprunts!$Z$23,Emprunts!$AB$23,Emprunts!$AD$23,Emprunts!$AF$23,Emprunts!$AH$23,Emprunts!$AJ$23,Emprunts!$AL$23,Emprunts!$AN$23,Emprunts!$AP$23,Emprunts!$AR$23,Emprunts!$AT$23,Emprunts!$AV$23,Emprunts!$AX$23,Emprunts!$AZ$23,Emprunts!$BB$23,Emprunts!$BD$23,Emprunts!$BF$23)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B0A-4862-A582-08D32E20E74C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Emprunts!$B$24:$J$24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16 030 513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Emprunts!$K$24:$BF$24</c15:sqref>
                        </c15:fullRef>
                        <c15:formulaRef>
                          <c15:sqref>(Emprunts!$K$24:$T$24,Emprunts!$V$24,Emprunts!$X$24,Emprunts!$Z$24,Emprunts!$AB$24,Emprunts!$AD$24,Emprunts!$AF$24,Emprunts!$AH$24,Emprunts!$AJ$24,Emprunts!$AL$24,Emprunts!$AN$24,Emprunts!$AP$24,Emprunts!$AR$24,Emprunts!$AT$24,Emprunts!$AV$24,Emprunts!$AX$24,Emprunts!$AZ$24,Emprunts!$BB$24,Emprunts!$BD$24,Emprunts!$BF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  <c:pt idx="12">
                        <c:v>5459707.1982055735</c:v>
                      </c:pt>
                      <c:pt idx="13">
                        <c:v>5459707.1982055735</c:v>
                      </c:pt>
                      <c:pt idx="14">
                        <c:v>5459707.1982055735</c:v>
                      </c:pt>
                      <c:pt idx="15">
                        <c:v>5459707.1982055735</c:v>
                      </c:pt>
                      <c:pt idx="16">
                        <c:v>5459707.1982055735</c:v>
                      </c:pt>
                      <c:pt idx="17">
                        <c:v>5459707.1982055735</c:v>
                      </c:pt>
                      <c:pt idx="18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B0A-4862-A582-08D32E20E74C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1"/>
          <c:order val="11"/>
          <c:tx>
            <c:strRef>
              <c:f>Emprunts!$B$16:$J$16</c:f>
              <c:strCache>
                <c:ptCount val="9"/>
                <c:pt idx="0">
                  <c:v> CE_SCI TAVERNY </c:v>
                </c:pt>
                <c:pt idx="1">
                  <c:v>9-TAVERNY</c:v>
                </c:pt>
                <c:pt idx="2">
                  <c:v> CE </c:v>
                </c:pt>
                <c:pt idx="4">
                  <c:v>0</c:v>
                </c:pt>
                <c:pt idx="5">
                  <c:v> 1 408 923 </c:v>
                </c:pt>
                <c:pt idx="6">
                  <c:v>4,93%</c:v>
                </c:pt>
                <c:pt idx="7">
                  <c:v>05/02/24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Emprunts!$K$16:$BF$16</c15:sqref>
                  </c15:fullRef>
                </c:ext>
              </c:extLst>
              <c:f>(Emprunts!$K$16:$T$16,Emprunts!$V$16,Emprunts!$X$16,Emprunts!$Z$16,Emprunts!$AB$16,Emprunts!$AD$16,Emprunts!$AF$16,Emprunts!$AH$16,Emprunts!$AJ$16,Emprunts!$AL$16,Emprunts!$AN$16,Emprunts!$AP$16,Emprunts!$AR$16,Emprunts!$AT$16,Emprunts!$AV$16,Emprunts!$AX$16,Emprunts!$AZ$16,Emprunts!$BB$16,Emprunts!$BD$16,Emprunts!$BF$16)</c:f>
              <c:numCache>
                <c:formatCode>_-* #\ ##0_-;\-* #\ ##0_-;_-* "-"??_-;_-@_-</c:formatCode>
                <c:ptCount val="19"/>
                <c:pt idx="0">
                  <c:v>1357225.8547237345</c:v>
                </c:pt>
                <c:pt idx="1">
                  <c:v>1310489.8714441014</c:v>
                </c:pt>
                <c:pt idx="2">
                  <c:v>1261397.0218875192</c:v>
                </c:pt>
                <c:pt idx="3">
                  <c:v>1206315.7498224692</c:v>
                </c:pt>
                <c:pt idx="4">
                  <c:v>1147256.7632431318</c:v>
                </c:pt>
                <c:pt idx="5">
                  <c:v>1085219</c:v>
                </c:pt>
                <c:pt idx="6">
                  <c:v>1020054</c:v>
                </c:pt>
                <c:pt idx="7">
                  <c:v>951602</c:v>
                </c:pt>
                <c:pt idx="8">
                  <c:v>879698</c:v>
                </c:pt>
                <c:pt idx="9">
                  <c:v>804167</c:v>
                </c:pt>
                <c:pt idx="10">
                  <c:v>724828</c:v>
                </c:pt>
                <c:pt idx="11">
                  <c:v>641488</c:v>
                </c:pt>
                <c:pt idx="12">
                  <c:v>553945</c:v>
                </c:pt>
                <c:pt idx="13">
                  <c:v>461988</c:v>
                </c:pt>
                <c:pt idx="14">
                  <c:v>381824</c:v>
                </c:pt>
                <c:pt idx="15">
                  <c:v>263927</c:v>
                </c:pt>
                <c:pt idx="16">
                  <c:v>157343</c:v>
                </c:pt>
                <c:pt idx="17">
                  <c:v>45385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2BF2-40E7-8947-768E38680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Emprunts!$B$5:$J$5</c15:sqref>
                        </c15:formulaRef>
                      </c:ext>
                    </c:extLst>
                    <c:strCache>
                      <c:ptCount val="9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435 000 </c:v>
                      </c:pt>
                      <c:pt idx="6">
                        <c:v>1,30%</c:v>
                      </c:pt>
                      <c:pt idx="7">
                        <c:v>05/11/20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Emprunts!$K$5:$BF$5</c15:sqref>
                        </c15:fullRef>
                        <c15:formulaRef>
                          <c15:sqref>(Emprunts!$K$5:$T$5,Emprunts!$V$5,Emprunts!$X$5,Emprunts!$Z$5,Emprunts!$AB$5,Emprunts!$AD$5,Emprunts!$AF$5,Emprunts!$AH$5,Emprunts!$AJ$5,Emprunts!$AL$5,Emprunts!$AN$5,Emprunts!$AP$5,Emprunts!$AR$5,Emprunts!$AT$5,Emprunts!$AV$5,Emprunts!$AX$5,Emprunts!$AZ$5,Emprunts!$BB$5,Emprunts!$BD$5,Emprunts!$BF$5)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2.8812288073822856E-3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BF2-40E7-8947-768E38680F12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Emprunts!$B$6:$J$6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409 000 </c:v>
                      </c:pt>
                      <c:pt idx="6">
                        <c:v>1,35%</c:v>
                      </c:pt>
                      <c:pt idx="7">
                        <c:v>05/04/22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Emprunts!$K$6:$BF$6</c15:sqref>
                        </c15:fullRef>
                        <c15:formulaRef>
                          <c15:sqref>(Emprunts!$K$6:$T$6,Emprunts!$V$6,Emprunts!$X$6,Emprunts!$Z$6,Emprunts!$AB$6,Emprunts!$AD$6,Emprunts!$AF$6,Emprunts!$AH$6,Emprunts!$AJ$6,Emprunts!$AL$6,Emprunts!$AN$6,Emprunts!$AP$6,Emprunts!$AR$6,Emprunts!$AT$6,Emprunts!$AV$6,Emprunts!$AX$6,Emprunts!$AZ$6,Emprunts!$BB$6,Emprunts!$BD$6,Emprunts!$BF$6)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305556.77369127376</c:v>
                      </c:pt>
                      <c:pt idx="1">
                        <c:v>277076.47760202223</c:v>
                      </c:pt>
                      <c:pt idx="2">
                        <c:v>248209.30957698025</c:v>
                      </c:pt>
                      <c:pt idx="3">
                        <c:v>218950.01440762632</c:v>
                      </c:pt>
                      <c:pt idx="4">
                        <c:v>189293.2654994996</c:v>
                      </c:pt>
                      <c:pt idx="5">
                        <c:v>159234</c:v>
                      </c:pt>
                      <c:pt idx="6">
                        <c:v>128766</c:v>
                      </c:pt>
                      <c:pt idx="7">
                        <c:v>97884</c:v>
                      </c:pt>
                      <c:pt idx="8">
                        <c:v>66583</c:v>
                      </c:pt>
                      <c:pt idx="9">
                        <c:v>34856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BF2-40E7-8947-768E38680F12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Emprunts!$B$7:$J$7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220154G</c:v>
                      </c:pt>
                      <c:pt idx="5">
                        <c:v> 1 515 000 </c:v>
                      </c:pt>
                      <c:pt idx="6">
                        <c:v>1,35%</c:v>
                      </c:pt>
                      <c:pt idx="7">
                        <c:v>10/09/22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Emprunts!$K$7:$BF$7</c15:sqref>
                        </c15:fullRef>
                        <c15:formulaRef>
                          <c15:sqref>(Emprunts!$K$7:$T$7,Emprunts!$V$7,Emprunts!$X$7,Emprunts!$Z$7,Emprunts!$AB$7,Emprunts!$AD$7,Emprunts!$AF$7,Emprunts!$AH$7,Emprunts!$AJ$7,Emprunts!$AL$7,Emprunts!$AN$7,Emprunts!$AP$7,Emprunts!$AR$7,Emprunts!$AT$7,Emprunts!$AV$7,Emprunts!$AX$7,Emprunts!$AZ$7,Emprunts!$BB$7,Emprunts!$BD$7,Emprunts!$BF$7)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1175368.7829993453</c:v>
                      </c:pt>
                      <c:pt idx="1">
                        <c:v>1070464.9101257892</c:v>
                      </c:pt>
                      <c:pt idx="2">
                        <c:v>964136.03927316284</c:v>
                      </c:pt>
                      <c:pt idx="3">
                        <c:v>856362.81348938483</c:v>
                      </c:pt>
                      <c:pt idx="4">
                        <c:v>747125.61288053193</c:v>
                      </c:pt>
                      <c:pt idx="5">
                        <c:v>636405</c:v>
                      </c:pt>
                      <c:pt idx="6">
                        <c:v>524179</c:v>
                      </c:pt>
                      <c:pt idx="7">
                        <c:v>410430</c:v>
                      </c:pt>
                      <c:pt idx="8">
                        <c:v>295135</c:v>
                      </c:pt>
                      <c:pt idx="9">
                        <c:v>178274</c:v>
                      </c:pt>
                      <c:pt idx="10">
                        <c:v>59826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BF2-40E7-8947-768E38680F12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Emprunts!$B$8:$J$8</c15:sqref>
                        </c15:formulaRef>
                      </c:ext>
                    </c:extLst>
                    <c:strCache>
                      <c:ptCount val="9"/>
                      <c:pt idx="0">
                        <c:v> SG_SCI 34 HAUTE </c:v>
                      </c:pt>
                      <c:pt idx="1">
                        <c:v>9-HAUTE</c:v>
                      </c:pt>
                      <c:pt idx="2">
                        <c:v> SG </c:v>
                      </c:pt>
                      <c:pt idx="4">
                        <c:v>2,25003E+11</c:v>
                      </c:pt>
                      <c:pt idx="5">
                        <c:v> 350 000 </c:v>
                      </c:pt>
                      <c:pt idx="6">
                        <c:v>3,53%</c:v>
                      </c:pt>
                      <c:pt idx="7">
                        <c:v>13/02/25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Emprunts!$K$8:$BF$8</c15:sqref>
                        </c15:fullRef>
                        <c15:formulaRef>
                          <c15:sqref>(Emprunts!$K$8:$T$8,Emprunts!$V$8,Emprunts!$X$8,Emprunts!$Z$8,Emprunts!$AB$8,Emprunts!$AD$8,Emprunts!$AF$8,Emprunts!$AH$8,Emprunts!$AJ$8,Emprunts!$AL$8,Emprunts!$AN$8,Emprunts!$AP$8,Emprunts!$AR$8,Emprunts!$AT$8,Emprunts!$AV$8,Emprunts!$AX$8,Emprunts!$AZ$8,Emprunts!$BB$8,Emprunts!$BD$8,Emprunts!$BF$8)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308928.84723423043</c:v>
                      </c:pt>
                      <c:pt idx="1">
                        <c:v>262584.23018713825</c:v>
                      </c:pt>
                      <c:pt idx="2">
                        <c:v>214576.91834340864</c:v>
                      </c:pt>
                      <c:pt idx="3">
                        <c:v>164847.25959751342</c:v>
                      </c:pt>
                      <c:pt idx="4">
                        <c:v>113333.46171953013</c:v>
                      </c:pt>
                      <c:pt idx="5">
                        <c:v>59972</c:v>
                      </c:pt>
                      <c:pt idx="6">
                        <c:v>4965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BF2-40E7-8947-768E38680F12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Emprunts!$B$9:$J$9</c15:sqref>
                        </c15:formulaRef>
                      </c:ext>
                    </c:extLst>
                    <c:strCache>
                      <c:ptCount val="9"/>
                      <c:pt idx="0">
                        <c:v> BNP_SCI LEGRAND </c:v>
                      </c:pt>
                      <c:pt idx="1">
                        <c:v>9-LEGRAND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239 978 </c:v>
                      </c:pt>
                      <c:pt idx="6">
                        <c:v>1,00%</c:v>
                      </c:pt>
                      <c:pt idx="7">
                        <c:v>18/01/18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Emprunts!$K$9:$BF$9</c15:sqref>
                        </c15:fullRef>
                        <c15:formulaRef>
                          <c15:sqref>(Emprunts!$K$9:$T$9,Emprunts!$V$9,Emprunts!$X$9,Emprunts!$Z$9,Emprunts!$AB$9,Emprunts!$AD$9,Emprunts!$AF$9,Emprunts!$AH$9,Emprunts!$AJ$9,Emprunts!$AL$9,Emprunts!$AN$9,Emprunts!$AP$9,Emprunts!$AR$9,Emprunts!$AT$9,Emprunts!$AV$9,Emprunts!$AX$9,Emprunts!$AZ$9,Emprunts!$BB$9,Emprunts!$BD$9,Emprunts!$BF$9)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5217.0699999996341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BF2-40E7-8947-768E38680F12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Emprunts!$B$10:$J$10</c15:sqref>
                        </c15:formulaRef>
                      </c:ext>
                    </c:extLst>
                    <c:strCache>
                      <c:ptCount val="9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1 600 000 </c:v>
                      </c:pt>
                      <c:pt idx="6">
                        <c:v>1,50%</c:v>
                      </c:pt>
                      <c:pt idx="7">
                        <c:v>01/01/18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Emprunts!$K$10:$BF$10</c15:sqref>
                        </c15:fullRef>
                        <c15:formulaRef>
                          <c15:sqref>(Emprunts!$K$10:$T$10,Emprunts!$V$10,Emprunts!$X$10,Emprunts!$Z$10,Emprunts!$AB$10,Emprunts!$AD$10,Emprunts!$AF$10,Emprunts!$AH$10,Emprunts!$AJ$10,Emprunts!$AL$10,Emprunts!$AN$10,Emprunts!$AP$10,Emprunts!$AR$10,Emprunts!$AT$10,Emprunts!$AV$10,Emprunts!$AX$10,Emprunts!$AZ$10,Emprunts!$BB$10,Emprunts!$BD$10,Emprunts!$BF$10)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BF2-40E7-8947-768E38680F12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Emprunts!$B$11:$J$11</c15:sqref>
                        </c15:formulaRef>
                      </c:ext>
                    </c:extLst>
                    <c:strCache>
                      <c:ptCount val="9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1 350 000 </c:v>
                      </c:pt>
                      <c:pt idx="6">
                        <c:v>2,08%</c:v>
                      </c:pt>
                      <c:pt idx="7">
                        <c:v>28/05/17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Emprunts!$K$11:$BF$11</c15:sqref>
                        </c15:fullRef>
                        <c15:formulaRef>
                          <c15:sqref>(Emprunts!$K$11:$T$11,Emprunts!$V$11,Emprunts!$X$11,Emprunts!$Z$11,Emprunts!$AB$11,Emprunts!$AD$11,Emprunts!$AF$11,Emprunts!$AH$11,Emprunts!$AJ$11,Emprunts!$AL$11,Emprunts!$AN$11,Emprunts!$AP$11,Emprunts!$AR$11,Emprunts!$AT$11,Emprunts!$AV$11,Emprunts!$AX$11,Emprunts!$AZ$11,Emprunts!$BB$11,Emprunts!$BD$11,Emprunts!$BF$11)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BF2-40E7-8947-768E38680F12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Emprunts!$B$12:$J$12</c15:sqref>
                        </c15:formulaRef>
                      </c:ext>
                    </c:extLst>
                    <c:strCache>
                      <c:ptCount val="9"/>
                      <c:pt idx="0">
                        <c:v> SG_SCI LEGRAND </c:v>
                      </c:pt>
                      <c:pt idx="1">
                        <c:v>9-LEGRAND</c:v>
                      </c:pt>
                      <c:pt idx="2">
                        <c:v> SG </c:v>
                      </c:pt>
                      <c:pt idx="4">
                        <c:v>0</c:v>
                      </c:pt>
                      <c:pt idx="5">
                        <c:v> 780 000 </c:v>
                      </c:pt>
                      <c:pt idx="6">
                        <c:v>1,89%</c:v>
                      </c:pt>
                      <c:pt idx="7">
                        <c:v>03/08/18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Emprunts!$K$12:$BF$12</c15:sqref>
                        </c15:fullRef>
                        <c15:formulaRef>
                          <c15:sqref>(Emprunts!$K$12:$T$12,Emprunts!$V$12,Emprunts!$X$12,Emprunts!$Z$12,Emprunts!$AB$12,Emprunts!$AD$12,Emprunts!$AF$12,Emprunts!$AH$12,Emprunts!$AJ$12,Emprunts!$AL$12,Emprunts!$AN$12,Emprunts!$AP$12,Emprunts!$AR$12,Emprunts!$AT$12,Emprunts!$AV$12,Emprunts!$AX$12,Emprunts!$AZ$12,Emprunts!$BB$12,Emprunts!$BD$12,Emprunts!$BF$12)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421888.90549874143</c:v>
                      </c:pt>
                      <c:pt idx="1">
                        <c:v>369652.16752447974</c:v>
                      </c:pt>
                      <c:pt idx="2">
                        <c:v>316419.55787956738</c:v>
                      </c:pt>
                      <c:pt idx="3">
                        <c:v>262172.09068504494</c:v>
                      </c:pt>
                      <c:pt idx="4">
                        <c:v>206890.41810407222</c:v>
                      </c:pt>
                      <c:pt idx="5">
                        <c:v>150155</c:v>
                      </c:pt>
                      <c:pt idx="6">
                        <c:v>93145</c:v>
                      </c:pt>
                      <c:pt idx="7">
                        <c:v>34641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BF2-40E7-8947-768E38680F12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Emprunts!$B$13:$J$13</c15:sqref>
                        </c15:formulaRef>
                      </c:ext>
                    </c:extLst>
                    <c:strCache>
                      <c:ptCount val="9"/>
                      <c:pt idx="0">
                        <c:v> CA_SCI ORIENT </c:v>
                      </c:pt>
                      <c:pt idx="1">
                        <c:v>9-ORIENT</c:v>
                      </c:pt>
                      <c:pt idx="2">
                        <c:v> CA </c:v>
                      </c:pt>
                      <c:pt idx="4">
                        <c:v>0</c:v>
                      </c:pt>
                      <c:pt idx="5">
                        <c:v> 665 000 </c:v>
                      </c:pt>
                      <c:pt idx="6">
                        <c:v>1,40%</c:v>
                      </c:pt>
                      <c:pt idx="7">
                        <c:v>05/04/23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Emprunts!$K$13:$BF$13</c15:sqref>
                        </c15:fullRef>
                        <c15:formulaRef>
                          <c15:sqref>(Emprunts!$K$13:$T$13,Emprunts!$V$13,Emprunts!$X$13,Emprunts!$Z$13,Emprunts!$AB$13,Emprunts!$AD$13,Emprunts!$AF$13,Emprunts!$AH$13,Emprunts!$AJ$13,Emprunts!$AL$13,Emprunts!$AN$13,Emprunts!$AP$13,Emprunts!$AR$13,Emprunts!$AT$13,Emprunts!$AV$13,Emprunts!$AX$13,Emprunts!$AZ$13,Emprunts!$BB$13,Emprunts!$BD$13,Emprunts!$BF$13)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553109.81484609994</c:v>
                      </c:pt>
                      <c:pt idx="1">
                        <c:v>511333.5249373964</c:v>
                      </c:pt>
                      <c:pt idx="2">
                        <c:v>468968.59943358751</c:v>
                      </c:pt>
                      <c:pt idx="3">
                        <c:v>426006.74435106228</c:v>
                      </c:pt>
                      <c:pt idx="4">
                        <c:v>382439.54884245817</c:v>
                      </c:pt>
                      <c:pt idx="5">
                        <c:v>338258</c:v>
                      </c:pt>
                      <c:pt idx="6">
                        <c:v>293455</c:v>
                      </c:pt>
                      <c:pt idx="7">
                        <c:v>248020</c:v>
                      </c:pt>
                      <c:pt idx="8">
                        <c:v>201945</c:v>
                      </c:pt>
                      <c:pt idx="9">
                        <c:v>155221</c:v>
                      </c:pt>
                      <c:pt idx="10">
                        <c:v>107838</c:v>
                      </c:pt>
                      <c:pt idx="11">
                        <c:v>59788</c:v>
                      </c:pt>
                      <c:pt idx="12">
                        <c:v>11061</c:v>
                      </c:pt>
                      <c:pt idx="13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BF2-40E7-8947-768E38680F12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Emprunts!$B$14:$J$14</c15:sqref>
                        </c15:formulaRef>
                      </c:ext>
                    </c:extLst>
                    <c:strCache>
                      <c:ptCount val="9"/>
                      <c:pt idx="0">
                        <c:v> LCL_SCI ORIENT </c:v>
                      </c:pt>
                      <c:pt idx="1">
                        <c:v>9-ORIENT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377 612 </c:v>
                      </c:pt>
                      <c:pt idx="6">
                        <c:v>1,80%</c:v>
                      </c:pt>
                      <c:pt idx="7">
                        <c:v>07/02/23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Emprunts!$K$14:$BF$14</c15:sqref>
                        </c15:fullRef>
                        <c15:formulaRef>
                          <c15:sqref>(Emprunts!$K$14:$T$14,Emprunts!$V$14,Emprunts!$X$14,Emprunts!$Z$14,Emprunts!$AB$14,Emprunts!$AD$14,Emprunts!$AF$14,Emprunts!$AH$14,Emprunts!$AJ$14,Emprunts!$AL$14,Emprunts!$AN$14,Emprunts!$AP$14,Emprunts!$AR$14,Emprunts!$AT$14,Emprunts!$AV$14,Emprunts!$AX$14,Emprunts!$AZ$14,Emprunts!$BB$14,Emprunts!$BD$14,Emprunts!$BF$14)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309355.54274141247</c:v>
                      </c:pt>
                      <c:pt idx="1">
                        <c:v>285116.7821471584</c:v>
                      </c:pt>
                      <c:pt idx="2">
                        <c:v>260438.10634809287</c:v>
                      </c:pt>
                      <c:pt idx="3">
                        <c:v>235311.53121537936</c:v>
                      </c:pt>
                      <c:pt idx="4">
                        <c:v>209728.9277142708</c:v>
                      </c:pt>
                      <c:pt idx="5">
                        <c:v>183682</c:v>
                      </c:pt>
                      <c:pt idx="6">
                        <c:v>157162</c:v>
                      </c:pt>
                      <c:pt idx="7">
                        <c:v>130161</c:v>
                      </c:pt>
                      <c:pt idx="8">
                        <c:v>102670</c:v>
                      </c:pt>
                      <c:pt idx="9">
                        <c:v>74680</c:v>
                      </c:pt>
                      <c:pt idx="10">
                        <c:v>46183</c:v>
                      </c:pt>
                      <c:pt idx="11">
                        <c:v>17167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BF2-40E7-8947-768E38680F12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Emprunts!$B$15:$J$15</c15:sqref>
                        </c15:formulaRef>
                      </c:ext>
                    </c:extLst>
                    <c:strCache>
                      <c:ptCount val="9"/>
                      <c:pt idx="0">
                        <c:v> LCL_SCI CHENNEVIERES </c:v>
                      </c:pt>
                      <c:pt idx="1">
                        <c:v>9-CHENNEVIERES</c:v>
                      </c:pt>
                      <c:pt idx="2">
                        <c:v> LCL </c:v>
                      </c:pt>
                      <c:pt idx="4">
                        <c:v>23925728</c:v>
                      </c:pt>
                      <c:pt idx="5">
                        <c:v> 734 000 </c:v>
                      </c:pt>
                      <c:pt idx="6">
                        <c:v>4,60%</c:v>
                      </c:pt>
                      <c:pt idx="7">
                        <c:v>28/10/23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Emprunts!$K$15:$BF$15</c15:sqref>
                        </c15:fullRef>
                        <c15:formulaRef>
                          <c15:sqref>(Emprunts!$K$15:$T$15,Emprunts!$V$15,Emprunts!$X$15,Emprunts!$Z$15,Emprunts!$AB$15,Emprunts!$AD$15,Emprunts!$AF$15,Emprunts!$AH$15,Emprunts!$AJ$15,Emprunts!$AL$15,Emprunts!$AN$15,Emprunts!$AP$15,Emprunts!$AR$15,Emprunts!$AT$15,Emprunts!$AV$15,Emprunts!$AX$15,Emprunts!$AZ$15,Emprunts!$BB$15,Emprunts!$BD$15,Emprunts!$BF$15)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685859.27312744362</c:v>
                      </c:pt>
                      <c:pt idx="1">
                        <c:v>645315.15765550383</c:v>
                      </c:pt>
                      <c:pt idx="2">
                        <c:v>602873.59375698224</c:v>
                      </c:pt>
                      <c:pt idx="3">
                        <c:v>558445.78160261549</c:v>
                      </c:pt>
                      <c:pt idx="4">
                        <c:v>511938.76556656288</c:v>
                      </c:pt>
                      <c:pt idx="5">
                        <c:v>463255</c:v>
                      </c:pt>
                      <c:pt idx="6">
                        <c:v>412293</c:v>
                      </c:pt>
                      <c:pt idx="7">
                        <c:v>358946</c:v>
                      </c:pt>
                      <c:pt idx="8">
                        <c:v>303103</c:v>
                      </c:pt>
                      <c:pt idx="9">
                        <c:v>244646</c:v>
                      </c:pt>
                      <c:pt idx="10">
                        <c:v>183453</c:v>
                      </c:pt>
                      <c:pt idx="11">
                        <c:v>119397</c:v>
                      </c:pt>
                      <c:pt idx="12">
                        <c:v>52342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BF2-40E7-8947-768E38680F12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Emprunts!$B$17:$J$17</c15:sqref>
                        </c15:formulaRef>
                      </c:ext>
                    </c:extLst>
                    <c:strCache>
                      <c:ptCount val="9"/>
                      <c:pt idx="0">
                        <c:v> CE_SCI CHATOU </c:v>
                      </c:pt>
                      <c:pt idx="1">
                        <c:v>9-GJB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1 200 000 </c:v>
                      </c:pt>
                      <c:pt idx="6">
                        <c:v>5,10%</c:v>
                      </c:pt>
                      <c:pt idx="7">
                        <c:v>25/08/23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Emprunts!$K$17:$BF$17</c15:sqref>
                        </c15:fullRef>
                        <c15:formulaRef>
                          <c15:sqref>(Emprunts!$K$17:$T$17,Emprunts!$V$17,Emprunts!$X$17,Emprunts!$Z$17,Emprunts!$AB$17,Emprunts!$AD$17,Emprunts!$AF$17,Emprunts!$AH$17,Emprunts!$AJ$17,Emprunts!$AL$17,Emprunts!$AN$17,Emprunts!$AP$17,Emprunts!$AR$17,Emprunts!$AT$17,Emprunts!$AV$17,Emprunts!$AX$17,Emprunts!$AZ$17,Emprunts!$BB$17,Emprunts!$BD$17,Emprunts!$BF$17)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1092667.847572482</c:v>
                      </c:pt>
                      <c:pt idx="1">
                        <c:v>1032371.616965641</c:v>
                      </c:pt>
                      <c:pt idx="2">
                        <c:v>968927.36984069122</c:v>
                      </c:pt>
                      <c:pt idx="3">
                        <c:v>902170.75084907142</c:v>
                      </c:pt>
                      <c:pt idx="4">
                        <c:v>831928.82378489524</c:v>
                      </c:pt>
                      <c:pt idx="5">
                        <c:v>758020</c:v>
                      </c:pt>
                      <c:pt idx="6">
                        <c:v>680252</c:v>
                      </c:pt>
                      <c:pt idx="7">
                        <c:v>598424</c:v>
                      </c:pt>
                      <c:pt idx="8">
                        <c:v>512323</c:v>
                      </c:pt>
                      <c:pt idx="9">
                        <c:v>421728</c:v>
                      </c:pt>
                      <c:pt idx="10">
                        <c:v>326402</c:v>
                      </c:pt>
                      <c:pt idx="11">
                        <c:v>226100</c:v>
                      </c:pt>
                      <c:pt idx="12">
                        <c:v>120561</c:v>
                      </c:pt>
                      <c:pt idx="13">
                        <c:v>9512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BF2-40E7-8947-768E38680F12}"/>
                  </c:ext>
                </c:extLst>
              </c15:ser>
            </c15:filteredAreaSeries>
            <c15:filteredArea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Emprunts!$B$18:$J$18</c15:sqref>
                        </c15:formulaRef>
                      </c:ext>
                    </c:extLst>
                    <c:strCache>
                      <c:ptCount val="9"/>
                      <c:pt idx="0">
                        <c:v> LCL_SCI PLESSIS </c:v>
                      </c:pt>
                      <c:pt idx="1">
                        <c:v>9-GJB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740 000 </c:v>
                      </c:pt>
                      <c:pt idx="6">
                        <c:v>4,60%</c:v>
                      </c:pt>
                      <c:pt idx="7">
                        <c:v>30/07/24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Emprunts!$K$18:$BF$18</c15:sqref>
                        </c15:fullRef>
                        <c15:formulaRef>
                          <c15:sqref>(Emprunts!$K$18:$T$18,Emprunts!$V$18,Emprunts!$X$18,Emprunts!$Z$18,Emprunts!$AB$18,Emprunts!$AD$18,Emprunts!$AF$18,Emprunts!$AH$18,Emprunts!$AJ$18,Emprunts!$AL$18,Emprunts!$AN$18,Emprunts!$AP$18,Emprunts!$AR$18,Emprunts!$AT$18,Emprunts!$AV$18,Emprunts!$AX$18,Emprunts!$AZ$18,Emprunts!$BB$18,Emprunts!$BD$18,Emprunts!$BF$18)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686767.34036551241</c:v>
                      </c:pt>
                      <c:pt idx="1">
                        <c:v>649186.76537886821</c:v>
                      </c:pt>
                      <c:pt idx="2">
                        <c:v>609840.56729671638</c:v>
                      </c:pt>
                      <c:pt idx="3">
                        <c:v>568645.79302649479</c:v>
                      </c:pt>
                      <c:pt idx="4">
                        <c:v>525515.59214580816</c:v>
                      </c:pt>
                      <c:pt idx="5">
                        <c:v>480359</c:v>
                      </c:pt>
                      <c:pt idx="6">
                        <c:v>433081</c:v>
                      </c:pt>
                      <c:pt idx="7">
                        <c:v>383582</c:v>
                      </c:pt>
                      <c:pt idx="8">
                        <c:v>331757</c:v>
                      </c:pt>
                      <c:pt idx="9">
                        <c:v>277497</c:v>
                      </c:pt>
                      <c:pt idx="10">
                        <c:v>220688</c:v>
                      </c:pt>
                      <c:pt idx="11">
                        <c:v>161209</c:v>
                      </c:pt>
                      <c:pt idx="12">
                        <c:v>98937</c:v>
                      </c:pt>
                      <c:pt idx="13">
                        <c:v>33739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BF2-40E7-8947-768E38680F12}"/>
                  </c:ext>
                </c:extLst>
              </c15:ser>
            </c15:filteredAreaSeries>
            <c15:filteredArea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Emprunts!$B$19:$J$19</c15:sqref>
                        </c15:formulaRef>
                      </c:ext>
                    </c:extLst>
                    <c:strCache>
                      <c:ptCount val="9"/>
                      <c:pt idx="0">
                        <c:v> SG_SCI ALFORTVILLE </c:v>
                      </c:pt>
                      <c:pt idx="1">
                        <c:v>9-CHENNEVIERES</c:v>
                      </c:pt>
                      <c:pt idx="2">
                        <c:v> SG </c:v>
                      </c:pt>
                      <c:pt idx="4">
                        <c:v> 223 326 101 166 </c:v>
                      </c:pt>
                      <c:pt idx="5">
                        <c:v> 840 000 </c:v>
                      </c:pt>
                      <c:pt idx="6">
                        <c:v>4,53%</c:v>
                      </c:pt>
                      <c:pt idx="7">
                        <c:v>15/12/23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Emprunts!$K$19:$BF$19</c15:sqref>
                        </c15:fullRef>
                        <c15:formulaRef>
                          <c15:sqref>(Emprunts!$K$19:$T$19,Emprunts!$V$19,Emprunts!$X$19,Emprunts!$Z$19,Emprunts!$AB$19,Emprunts!$AD$19,Emprunts!$AF$19,Emprunts!$AH$19,Emprunts!$AJ$19,Emprunts!$AL$19,Emprunts!$AN$19,Emprunts!$AP$19,Emprunts!$AR$19,Emprunts!$AT$19,Emprunts!$AV$19,Emprunts!$AX$19,Emprunts!$AZ$19,Emprunts!$BB$19,Emprunts!$BD$19,Emprunts!$BF$19)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792256.82392726513</c:v>
                      </c:pt>
                      <c:pt idx="1">
                        <c:v>746061.55869565415</c:v>
                      </c:pt>
                      <c:pt idx="2">
                        <c:v>697729.64799698698</c:v>
                      </c:pt>
                      <c:pt idx="3">
                        <c:v>647162.26668481238</c:v>
                      </c:pt>
                      <c:pt idx="4">
                        <c:v>594256.01870481262</c:v>
                      </c:pt>
                      <c:pt idx="5">
                        <c:v>538903</c:v>
                      </c:pt>
                      <c:pt idx="6">
                        <c:v>480989</c:v>
                      </c:pt>
                      <c:pt idx="7">
                        <c:v>420397</c:v>
                      </c:pt>
                      <c:pt idx="8">
                        <c:v>357002</c:v>
                      </c:pt>
                      <c:pt idx="9">
                        <c:v>290675</c:v>
                      </c:pt>
                      <c:pt idx="10">
                        <c:v>221281</c:v>
                      </c:pt>
                      <c:pt idx="11">
                        <c:v>148677</c:v>
                      </c:pt>
                      <c:pt idx="12">
                        <c:v>72714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BF2-40E7-8947-768E38680F12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Emprunts!$B$20:$J$20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Emprunts!$K$20:$BF$20</c15:sqref>
                        </c15:fullRef>
                        <c15:formulaRef>
                          <c15:sqref>(Emprunts!$K$20:$T$20,Emprunts!$V$20,Emprunts!$X$20,Emprunts!$Z$20,Emprunts!$AB$20,Emprunts!$AD$20,Emprunts!$AF$20,Emprunts!$AH$20,Emprunts!$AJ$20,Emprunts!$AL$20,Emprunts!$AN$20,Emprunts!$AP$20,Emprunts!$AR$20,Emprunts!$AT$20,Emprunts!$AV$20,Emprunts!$AX$20,Emprunts!$AZ$20,Emprunts!$BB$20,Emprunts!$BD$20,Emprunts!$BF$20)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BF2-40E7-8947-768E38680F12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Emprunts!$B$21:$J$21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Emprunts!$K$21:$BF$21</c15:sqref>
                        </c15:fullRef>
                        <c15:formulaRef>
                          <c15:sqref>(Emprunts!$K$21:$T$21,Emprunts!$V$21,Emprunts!$X$21,Emprunts!$Z$21,Emprunts!$AB$21,Emprunts!$AD$21,Emprunts!$AF$21,Emprunts!$AH$21,Emprunts!$AJ$21,Emprunts!$AL$21,Emprunts!$AN$21,Emprunts!$AP$21,Emprunts!$AR$21,Emprunts!$AT$21,Emprunts!$AV$21,Emprunts!$AX$21,Emprunts!$AZ$21,Emprunts!$BB$21,Emprunts!$BD$21,Emprunts!$BF$21)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BF2-40E7-8947-768E38680F12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Emprunts!$B$22:$J$22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Emprunts!$K$22:$BF$22</c15:sqref>
                        </c15:fullRef>
                        <c15:formulaRef>
                          <c15:sqref>(Emprunts!$K$22:$T$22,Emprunts!$V$22,Emprunts!$X$22,Emprunts!$Z$22,Emprunts!$AB$22,Emprunts!$AD$22,Emprunts!$AF$22,Emprunts!$AH$22,Emprunts!$AJ$22,Emprunts!$AL$22,Emprunts!$AN$22,Emprunts!$AP$22,Emprunts!$AR$22,Emprunts!$AT$22,Emprunts!$AV$22,Emprunts!$AX$22,Emprunts!$AZ$22,Emprunts!$BB$22,Emprunts!$BD$22,Emprunts!$BF$22)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BF2-40E7-8947-768E38680F12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Emprunts!$B$23:$J$23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Emprunts!$K$23:$BF$23</c15:sqref>
                        </c15:fullRef>
                        <c15:formulaRef>
                          <c15:sqref>(Emprunts!$K$23:$T$23,Emprunts!$V$23,Emprunts!$X$23,Emprunts!$Z$23,Emprunts!$AB$23,Emprunts!$AD$23,Emprunts!$AF$23,Emprunts!$AH$23,Emprunts!$AJ$23,Emprunts!$AL$23,Emprunts!$AN$23,Emprunts!$AP$23,Emprunts!$AR$23,Emprunts!$AT$23,Emprunts!$AV$23,Emprunts!$AX$23,Emprunts!$AZ$23,Emprunts!$BB$23,Emprunts!$BD$23,Emprunts!$BF$23)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BF2-40E7-8947-768E38680F12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Emprunts!$B$24:$J$24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16 030 513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Emprunts!$K$24:$BF$24</c15:sqref>
                        </c15:fullRef>
                        <c15:formulaRef>
                          <c15:sqref>(Emprunts!$K$24:$T$24,Emprunts!$V$24,Emprunts!$X$24,Emprunts!$Z$24,Emprunts!$AB$24,Emprunts!$AD$24,Emprunts!$AF$24,Emprunts!$AH$24,Emprunts!$AJ$24,Emprunts!$AL$24,Emprunts!$AN$24,Emprunts!$AP$24,Emprunts!$AR$24,Emprunts!$AT$24,Emprunts!$AV$24,Emprunts!$AX$24,Emprunts!$AZ$24,Emprunts!$BB$24,Emprunts!$BD$24,Emprunts!$BF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  <c:pt idx="12">
                        <c:v>5459707.1982055735</c:v>
                      </c:pt>
                      <c:pt idx="13">
                        <c:v>5459707.1982055735</c:v>
                      </c:pt>
                      <c:pt idx="14">
                        <c:v>5459707.1982055735</c:v>
                      </c:pt>
                      <c:pt idx="15">
                        <c:v>5459707.1982055735</c:v>
                      </c:pt>
                      <c:pt idx="16">
                        <c:v>5459707.1982055735</c:v>
                      </c:pt>
                      <c:pt idx="17">
                        <c:v>5459707.1982055735</c:v>
                      </c:pt>
                      <c:pt idx="18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BF2-40E7-8947-768E38680F12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2"/>
          <c:order val="12"/>
          <c:tx>
            <c:strRef>
              <c:f>Emprunts!$B$17:$J$17</c:f>
              <c:strCache>
                <c:ptCount val="9"/>
                <c:pt idx="0">
                  <c:v> CE_SCI CHATOU </c:v>
                </c:pt>
                <c:pt idx="1">
                  <c:v>9-GJB</c:v>
                </c:pt>
                <c:pt idx="2">
                  <c:v> CE </c:v>
                </c:pt>
                <c:pt idx="4">
                  <c:v>0</c:v>
                </c:pt>
                <c:pt idx="5">
                  <c:v> 1 200 000 </c:v>
                </c:pt>
                <c:pt idx="6">
                  <c:v>5,10%</c:v>
                </c:pt>
                <c:pt idx="7">
                  <c:v>25/08/23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Emprunts!$K$17:$BF$17</c15:sqref>
                  </c15:fullRef>
                </c:ext>
              </c:extLst>
              <c:f>(Emprunts!$K$17:$T$17,Emprunts!$V$17,Emprunts!$X$17,Emprunts!$Z$17,Emprunts!$AB$17,Emprunts!$AD$17,Emprunts!$AF$17,Emprunts!$AH$17,Emprunts!$AJ$17,Emprunts!$AL$17,Emprunts!$AN$17,Emprunts!$AP$17,Emprunts!$AR$17,Emprunts!$AT$17,Emprunts!$AV$17,Emprunts!$AX$17,Emprunts!$AZ$17,Emprunts!$BB$17,Emprunts!$BD$17,Emprunts!$BF$17)</c:f>
              <c:numCache>
                <c:formatCode>_-* #\ ##0_-;\-* #\ ##0_-;_-* "-"??_-;_-@_-</c:formatCode>
                <c:ptCount val="19"/>
                <c:pt idx="0">
                  <c:v>1092667.847572482</c:v>
                </c:pt>
                <c:pt idx="1">
                  <c:v>1032371.616965641</c:v>
                </c:pt>
                <c:pt idx="2">
                  <c:v>968927.36984069122</c:v>
                </c:pt>
                <c:pt idx="3">
                  <c:v>902170.75084907142</c:v>
                </c:pt>
                <c:pt idx="4">
                  <c:v>831928.82378489524</c:v>
                </c:pt>
                <c:pt idx="5">
                  <c:v>758020</c:v>
                </c:pt>
                <c:pt idx="6">
                  <c:v>680252</c:v>
                </c:pt>
                <c:pt idx="7">
                  <c:v>598424</c:v>
                </c:pt>
                <c:pt idx="8">
                  <c:v>512323</c:v>
                </c:pt>
                <c:pt idx="9">
                  <c:v>421728</c:v>
                </c:pt>
                <c:pt idx="10">
                  <c:v>326402</c:v>
                </c:pt>
                <c:pt idx="11">
                  <c:v>226100</c:v>
                </c:pt>
                <c:pt idx="12">
                  <c:v>120561</c:v>
                </c:pt>
                <c:pt idx="13">
                  <c:v>9512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E8D2-4B6A-BF8E-A642FE1E0FDE}"/>
            </c:ext>
          </c:extLst>
        </c:ser>
        <c:ser>
          <c:idx val="13"/>
          <c:order val="13"/>
          <c:tx>
            <c:strRef>
              <c:f>Emprunts!$B$18:$J$18</c:f>
              <c:strCache>
                <c:ptCount val="9"/>
                <c:pt idx="0">
                  <c:v> LCL_SCI PLESSIS </c:v>
                </c:pt>
                <c:pt idx="1">
                  <c:v>9-GJB</c:v>
                </c:pt>
                <c:pt idx="2">
                  <c:v> LCL </c:v>
                </c:pt>
                <c:pt idx="4">
                  <c:v>0</c:v>
                </c:pt>
                <c:pt idx="5">
                  <c:v> 740 000 </c:v>
                </c:pt>
                <c:pt idx="6">
                  <c:v>4,60%</c:v>
                </c:pt>
                <c:pt idx="7">
                  <c:v>30/07/24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Emprunts!$K$18:$BF$18</c15:sqref>
                  </c15:fullRef>
                </c:ext>
              </c:extLst>
              <c:f>(Emprunts!$K$18:$T$18,Emprunts!$V$18,Emprunts!$X$18,Emprunts!$Z$18,Emprunts!$AB$18,Emprunts!$AD$18,Emprunts!$AF$18,Emprunts!$AH$18,Emprunts!$AJ$18,Emprunts!$AL$18,Emprunts!$AN$18,Emprunts!$AP$18,Emprunts!$AR$18,Emprunts!$AT$18,Emprunts!$AV$18,Emprunts!$AX$18,Emprunts!$AZ$18,Emprunts!$BB$18,Emprunts!$BD$18,Emprunts!$BF$18)</c:f>
              <c:numCache>
                <c:formatCode>_-* #\ ##0_-;\-* #\ ##0_-;_-* "-"??_-;_-@_-</c:formatCode>
                <c:ptCount val="19"/>
                <c:pt idx="0">
                  <c:v>686767.34036551241</c:v>
                </c:pt>
                <c:pt idx="1">
                  <c:v>649186.76537886821</c:v>
                </c:pt>
                <c:pt idx="2">
                  <c:v>609840.56729671638</c:v>
                </c:pt>
                <c:pt idx="3">
                  <c:v>568645.79302649479</c:v>
                </c:pt>
                <c:pt idx="4">
                  <c:v>525515.59214580816</c:v>
                </c:pt>
                <c:pt idx="5">
                  <c:v>480359</c:v>
                </c:pt>
                <c:pt idx="6">
                  <c:v>433081</c:v>
                </c:pt>
                <c:pt idx="7">
                  <c:v>383582</c:v>
                </c:pt>
                <c:pt idx="8">
                  <c:v>331757</c:v>
                </c:pt>
                <c:pt idx="9">
                  <c:v>277497</c:v>
                </c:pt>
                <c:pt idx="10">
                  <c:v>220688</c:v>
                </c:pt>
                <c:pt idx="11">
                  <c:v>161209</c:v>
                </c:pt>
                <c:pt idx="12">
                  <c:v>98937</c:v>
                </c:pt>
                <c:pt idx="13">
                  <c:v>33739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E8D2-4B6A-BF8E-A642FE1E0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Emprunts!$B$5:$J$5</c15:sqref>
                        </c15:formulaRef>
                      </c:ext>
                    </c:extLst>
                    <c:strCache>
                      <c:ptCount val="9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435 000 </c:v>
                      </c:pt>
                      <c:pt idx="6">
                        <c:v>1,30%</c:v>
                      </c:pt>
                      <c:pt idx="7">
                        <c:v>05/11/20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Emprunts!$K$5:$BF$5</c15:sqref>
                        </c15:fullRef>
                        <c15:formulaRef>
                          <c15:sqref>(Emprunts!$K$5:$T$5,Emprunts!$V$5,Emprunts!$X$5,Emprunts!$Z$5,Emprunts!$AB$5,Emprunts!$AD$5,Emprunts!$AF$5,Emprunts!$AH$5,Emprunts!$AJ$5,Emprunts!$AL$5,Emprunts!$AN$5,Emprunts!$AP$5,Emprunts!$AR$5,Emprunts!$AT$5,Emprunts!$AV$5,Emprunts!$AX$5,Emprunts!$AZ$5,Emprunts!$BB$5,Emprunts!$BD$5,Emprunts!$BF$5)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2.8812288073822856E-3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8D2-4B6A-BF8E-A642FE1E0FDE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Emprunts!$B$6:$J$6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409 000 </c:v>
                      </c:pt>
                      <c:pt idx="6">
                        <c:v>1,35%</c:v>
                      </c:pt>
                      <c:pt idx="7">
                        <c:v>05/04/22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Emprunts!$K$6:$BF$6</c15:sqref>
                        </c15:fullRef>
                        <c15:formulaRef>
                          <c15:sqref>(Emprunts!$K$6:$T$6,Emprunts!$V$6,Emprunts!$X$6,Emprunts!$Z$6,Emprunts!$AB$6,Emprunts!$AD$6,Emprunts!$AF$6,Emprunts!$AH$6,Emprunts!$AJ$6,Emprunts!$AL$6,Emprunts!$AN$6,Emprunts!$AP$6,Emprunts!$AR$6,Emprunts!$AT$6,Emprunts!$AV$6,Emprunts!$AX$6,Emprunts!$AZ$6,Emprunts!$BB$6,Emprunts!$BD$6,Emprunts!$BF$6)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305556.77369127376</c:v>
                      </c:pt>
                      <c:pt idx="1">
                        <c:v>277076.47760202223</c:v>
                      </c:pt>
                      <c:pt idx="2">
                        <c:v>248209.30957698025</c:v>
                      </c:pt>
                      <c:pt idx="3">
                        <c:v>218950.01440762632</c:v>
                      </c:pt>
                      <c:pt idx="4">
                        <c:v>189293.2654994996</c:v>
                      </c:pt>
                      <c:pt idx="5">
                        <c:v>159234</c:v>
                      </c:pt>
                      <c:pt idx="6">
                        <c:v>128766</c:v>
                      </c:pt>
                      <c:pt idx="7">
                        <c:v>97884</c:v>
                      </c:pt>
                      <c:pt idx="8">
                        <c:v>66583</c:v>
                      </c:pt>
                      <c:pt idx="9">
                        <c:v>34856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8D2-4B6A-BF8E-A642FE1E0FDE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Emprunts!$B$7:$J$7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220154G</c:v>
                      </c:pt>
                      <c:pt idx="5">
                        <c:v> 1 515 000 </c:v>
                      </c:pt>
                      <c:pt idx="6">
                        <c:v>1,35%</c:v>
                      </c:pt>
                      <c:pt idx="7">
                        <c:v>10/09/22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Emprunts!$K$7:$BF$7</c15:sqref>
                        </c15:fullRef>
                        <c15:formulaRef>
                          <c15:sqref>(Emprunts!$K$7:$T$7,Emprunts!$V$7,Emprunts!$X$7,Emprunts!$Z$7,Emprunts!$AB$7,Emprunts!$AD$7,Emprunts!$AF$7,Emprunts!$AH$7,Emprunts!$AJ$7,Emprunts!$AL$7,Emprunts!$AN$7,Emprunts!$AP$7,Emprunts!$AR$7,Emprunts!$AT$7,Emprunts!$AV$7,Emprunts!$AX$7,Emprunts!$AZ$7,Emprunts!$BB$7,Emprunts!$BD$7,Emprunts!$BF$7)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1175368.7829993453</c:v>
                      </c:pt>
                      <c:pt idx="1">
                        <c:v>1070464.9101257892</c:v>
                      </c:pt>
                      <c:pt idx="2">
                        <c:v>964136.03927316284</c:v>
                      </c:pt>
                      <c:pt idx="3">
                        <c:v>856362.81348938483</c:v>
                      </c:pt>
                      <c:pt idx="4">
                        <c:v>747125.61288053193</c:v>
                      </c:pt>
                      <c:pt idx="5">
                        <c:v>636405</c:v>
                      </c:pt>
                      <c:pt idx="6">
                        <c:v>524179</c:v>
                      </c:pt>
                      <c:pt idx="7">
                        <c:v>410430</c:v>
                      </c:pt>
                      <c:pt idx="8">
                        <c:v>295135</c:v>
                      </c:pt>
                      <c:pt idx="9">
                        <c:v>178274</c:v>
                      </c:pt>
                      <c:pt idx="10">
                        <c:v>59826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8D2-4B6A-BF8E-A642FE1E0FDE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Emprunts!$B$8:$J$8</c15:sqref>
                        </c15:formulaRef>
                      </c:ext>
                    </c:extLst>
                    <c:strCache>
                      <c:ptCount val="9"/>
                      <c:pt idx="0">
                        <c:v> SG_SCI 34 HAUTE </c:v>
                      </c:pt>
                      <c:pt idx="1">
                        <c:v>9-HAUTE</c:v>
                      </c:pt>
                      <c:pt idx="2">
                        <c:v> SG </c:v>
                      </c:pt>
                      <c:pt idx="4">
                        <c:v>2,25003E+11</c:v>
                      </c:pt>
                      <c:pt idx="5">
                        <c:v> 350 000 </c:v>
                      </c:pt>
                      <c:pt idx="6">
                        <c:v>3,53%</c:v>
                      </c:pt>
                      <c:pt idx="7">
                        <c:v>13/02/25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Emprunts!$K$8:$BF$8</c15:sqref>
                        </c15:fullRef>
                        <c15:formulaRef>
                          <c15:sqref>(Emprunts!$K$8:$T$8,Emprunts!$V$8,Emprunts!$X$8,Emprunts!$Z$8,Emprunts!$AB$8,Emprunts!$AD$8,Emprunts!$AF$8,Emprunts!$AH$8,Emprunts!$AJ$8,Emprunts!$AL$8,Emprunts!$AN$8,Emprunts!$AP$8,Emprunts!$AR$8,Emprunts!$AT$8,Emprunts!$AV$8,Emprunts!$AX$8,Emprunts!$AZ$8,Emprunts!$BB$8,Emprunts!$BD$8,Emprunts!$BF$8)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308928.84723423043</c:v>
                      </c:pt>
                      <c:pt idx="1">
                        <c:v>262584.23018713825</c:v>
                      </c:pt>
                      <c:pt idx="2">
                        <c:v>214576.91834340864</c:v>
                      </c:pt>
                      <c:pt idx="3">
                        <c:v>164847.25959751342</c:v>
                      </c:pt>
                      <c:pt idx="4">
                        <c:v>113333.46171953013</c:v>
                      </c:pt>
                      <c:pt idx="5">
                        <c:v>59972</c:v>
                      </c:pt>
                      <c:pt idx="6">
                        <c:v>4965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8D2-4B6A-BF8E-A642FE1E0FDE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Emprunts!$B$9:$J$9</c15:sqref>
                        </c15:formulaRef>
                      </c:ext>
                    </c:extLst>
                    <c:strCache>
                      <c:ptCount val="9"/>
                      <c:pt idx="0">
                        <c:v> BNP_SCI LEGRAND </c:v>
                      </c:pt>
                      <c:pt idx="1">
                        <c:v>9-LEGRAND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239 978 </c:v>
                      </c:pt>
                      <c:pt idx="6">
                        <c:v>1,00%</c:v>
                      </c:pt>
                      <c:pt idx="7">
                        <c:v>18/01/18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Emprunts!$K$9:$BF$9</c15:sqref>
                        </c15:fullRef>
                        <c15:formulaRef>
                          <c15:sqref>(Emprunts!$K$9:$T$9,Emprunts!$V$9,Emprunts!$X$9,Emprunts!$Z$9,Emprunts!$AB$9,Emprunts!$AD$9,Emprunts!$AF$9,Emprunts!$AH$9,Emprunts!$AJ$9,Emprunts!$AL$9,Emprunts!$AN$9,Emprunts!$AP$9,Emprunts!$AR$9,Emprunts!$AT$9,Emprunts!$AV$9,Emprunts!$AX$9,Emprunts!$AZ$9,Emprunts!$BB$9,Emprunts!$BD$9,Emprunts!$BF$9)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5217.0699999996341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8D2-4B6A-BF8E-A642FE1E0FDE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Emprunts!$B$10:$J$10</c15:sqref>
                        </c15:formulaRef>
                      </c:ext>
                    </c:extLst>
                    <c:strCache>
                      <c:ptCount val="9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1 600 000 </c:v>
                      </c:pt>
                      <c:pt idx="6">
                        <c:v>1,50%</c:v>
                      </c:pt>
                      <c:pt idx="7">
                        <c:v>01/01/18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Emprunts!$K$10:$BF$10</c15:sqref>
                        </c15:fullRef>
                        <c15:formulaRef>
                          <c15:sqref>(Emprunts!$K$10:$T$10,Emprunts!$V$10,Emprunts!$X$10,Emprunts!$Z$10,Emprunts!$AB$10,Emprunts!$AD$10,Emprunts!$AF$10,Emprunts!$AH$10,Emprunts!$AJ$10,Emprunts!$AL$10,Emprunts!$AN$10,Emprunts!$AP$10,Emprunts!$AR$10,Emprunts!$AT$10,Emprunts!$AV$10,Emprunts!$AX$10,Emprunts!$AZ$10,Emprunts!$BB$10,Emprunts!$BD$10,Emprunts!$BF$10)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8D2-4B6A-BF8E-A642FE1E0FDE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Emprunts!$B$11:$J$11</c15:sqref>
                        </c15:formulaRef>
                      </c:ext>
                    </c:extLst>
                    <c:strCache>
                      <c:ptCount val="9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1 350 000 </c:v>
                      </c:pt>
                      <c:pt idx="6">
                        <c:v>2,08%</c:v>
                      </c:pt>
                      <c:pt idx="7">
                        <c:v>28/05/17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Emprunts!$K$11:$BF$11</c15:sqref>
                        </c15:fullRef>
                        <c15:formulaRef>
                          <c15:sqref>(Emprunts!$K$11:$T$11,Emprunts!$V$11,Emprunts!$X$11,Emprunts!$Z$11,Emprunts!$AB$11,Emprunts!$AD$11,Emprunts!$AF$11,Emprunts!$AH$11,Emprunts!$AJ$11,Emprunts!$AL$11,Emprunts!$AN$11,Emprunts!$AP$11,Emprunts!$AR$11,Emprunts!$AT$11,Emprunts!$AV$11,Emprunts!$AX$11,Emprunts!$AZ$11,Emprunts!$BB$11,Emprunts!$BD$11,Emprunts!$BF$11)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8D2-4B6A-BF8E-A642FE1E0FDE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Emprunts!$B$12:$J$12</c15:sqref>
                        </c15:formulaRef>
                      </c:ext>
                    </c:extLst>
                    <c:strCache>
                      <c:ptCount val="9"/>
                      <c:pt idx="0">
                        <c:v> SG_SCI LEGRAND </c:v>
                      </c:pt>
                      <c:pt idx="1">
                        <c:v>9-LEGRAND</c:v>
                      </c:pt>
                      <c:pt idx="2">
                        <c:v> SG </c:v>
                      </c:pt>
                      <c:pt idx="4">
                        <c:v>0</c:v>
                      </c:pt>
                      <c:pt idx="5">
                        <c:v> 780 000 </c:v>
                      </c:pt>
                      <c:pt idx="6">
                        <c:v>1,89%</c:v>
                      </c:pt>
                      <c:pt idx="7">
                        <c:v>03/08/18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Emprunts!$K$12:$BF$12</c15:sqref>
                        </c15:fullRef>
                        <c15:formulaRef>
                          <c15:sqref>(Emprunts!$K$12:$T$12,Emprunts!$V$12,Emprunts!$X$12,Emprunts!$Z$12,Emprunts!$AB$12,Emprunts!$AD$12,Emprunts!$AF$12,Emprunts!$AH$12,Emprunts!$AJ$12,Emprunts!$AL$12,Emprunts!$AN$12,Emprunts!$AP$12,Emprunts!$AR$12,Emprunts!$AT$12,Emprunts!$AV$12,Emprunts!$AX$12,Emprunts!$AZ$12,Emprunts!$BB$12,Emprunts!$BD$12,Emprunts!$BF$12)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421888.90549874143</c:v>
                      </c:pt>
                      <c:pt idx="1">
                        <c:v>369652.16752447974</c:v>
                      </c:pt>
                      <c:pt idx="2">
                        <c:v>316419.55787956738</c:v>
                      </c:pt>
                      <c:pt idx="3">
                        <c:v>262172.09068504494</c:v>
                      </c:pt>
                      <c:pt idx="4">
                        <c:v>206890.41810407222</c:v>
                      </c:pt>
                      <c:pt idx="5">
                        <c:v>150155</c:v>
                      </c:pt>
                      <c:pt idx="6">
                        <c:v>93145</c:v>
                      </c:pt>
                      <c:pt idx="7">
                        <c:v>34641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8D2-4B6A-BF8E-A642FE1E0FDE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Emprunts!$B$13:$J$13</c15:sqref>
                        </c15:formulaRef>
                      </c:ext>
                    </c:extLst>
                    <c:strCache>
                      <c:ptCount val="9"/>
                      <c:pt idx="0">
                        <c:v> CA_SCI ORIENT </c:v>
                      </c:pt>
                      <c:pt idx="1">
                        <c:v>9-ORIENT</c:v>
                      </c:pt>
                      <c:pt idx="2">
                        <c:v> CA </c:v>
                      </c:pt>
                      <c:pt idx="4">
                        <c:v>0</c:v>
                      </c:pt>
                      <c:pt idx="5">
                        <c:v> 665 000 </c:v>
                      </c:pt>
                      <c:pt idx="6">
                        <c:v>1,40%</c:v>
                      </c:pt>
                      <c:pt idx="7">
                        <c:v>05/04/23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Emprunts!$K$13:$BF$13</c15:sqref>
                        </c15:fullRef>
                        <c15:formulaRef>
                          <c15:sqref>(Emprunts!$K$13:$T$13,Emprunts!$V$13,Emprunts!$X$13,Emprunts!$Z$13,Emprunts!$AB$13,Emprunts!$AD$13,Emprunts!$AF$13,Emprunts!$AH$13,Emprunts!$AJ$13,Emprunts!$AL$13,Emprunts!$AN$13,Emprunts!$AP$13,Emprunts!$AR$13,Emprunts!$AT$13,Emprunts!$AV$13,Emprunts!$AX$13,Emprunts!$AZ$13,Emprunts!$BB$13,Emprunts!$BD$13,Emprunts!$BF$13)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553109.81484609994</c:v>
                      </c:pt>
                      <c:pt idx="1">
                        <c:v>511333.5249373964</c:v>
                      </c:pt>
                      <c:pt idx="2">
                        <c:v>468968.59943358751</c:v>
                      </c:pt>
                      <c:pt idx="3">
                        <c:v>426006.74435106228</c:v>
                      </c:pt>
                      <c:pt idx="4">
                        <c:v>382439.54884245817</c:v>
                      </c:pt>
                      <c:pt idx="5">
                        <c:v>338258</c:v>
                      </c:pt>
                      <c:pt idx="6">
                        <c:v>293455</c:v>
                      </c:pt>
                      <c:pt idx="7">
                        <c:v>248020</c:v>
                      </c:pt>
                      <c:pt idx="8">
                        <c:v>201945</c:v>
                      </c:pt>
                      <c:pt idx="9">
                        <c:v>155221</c:v>
                      </c:pt>
                      <c:pt idx="10">
                        <c:v>107838</c:v>
                      </c:pt>
                      <c:pt idx="11">
                        <c:v>59788</c:v>
                      </c:pt>
                      <c:pt idx="12">
                        <c:v>11061</c:v>
                      </c:pt>
                      <c:pt idx="13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8D2-4B6A-BF8E-A642FE1E0FDE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Emprunts!$B$14:$J$14</c15:sqref>
                        </c15:formulaRef>
                      </c:ext>
                    </c:extLst>
                    <c:strCache>
                      <c:ptCount val="9"/>
                      <c:pt idx="0">
                        <c:v> LCL_SCI ORIENT </c:v>
                      </c:pt>
                      <c:pt idx="1">
                        <c:v>9-ORIENT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377 612 </c:v>
                      </c:pt>
                      <c:pt idx="6">
                        <c:v>1,80%</c:v>
                      </c:pt>
                      <c:pt idx="7">
                        <c:v>07/02/23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Emprunts!$K$14:$BF$14</c15:sqref>
                        </c15:fullRef>
                        <c15:formulaRef>
                          <c15:sqref>(Emprunts!$K$14:$T$14,Emprunts!$V$14,Emprunts!$X$14,Emprunts!$Z$14,Emprunts!$AB$14,Emprunts!$AD$14,Emprunts!$AF$14,Emprunts!$AH$14,Emprunts!$AJ$14,Emprunts!$AL$14,Emprunts!$AN$14,Emprunts!$AP$14,Emprunts!$AR$14,Emprunts!$AT$14,Emprunts!$AV$14,Emprunts!$AX$14,Emprunts!$AZ$14,Emprunts!$BB$14,Emprunts!$BD$14,Emprunts!$BF$14)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309355.54274141247</c:v>
                      </c:pt>
                      <c:pt idx="1">
                        <c:v>285116.7821471584</c:v>
                      </c:pt>
                      <c:pt idx="2">
                        <c:v>260438.10634809287</c:v>
                      </c:pt>
                      <c:pt idx="3">
                        <c:v>235311.53121537936</c:v>
                      </c:pt>
                      <c:pt idx="4">
                        <c:v>209728.9277142708</c:v>
                      </c:pt>
                      <c:pt idx="5">
                        <c:v>183682</c:v>
                      </c:pt>
                      <c:pt idx="6">
                        <c:v>157162</c:v>
                      </c:pt>
                      <c:pt idx="7">
                        <c:v>130161</c:v>
                      </c:pt>
                      <c:pt idx="8">
                        <c:v>102670</c:v>
                      </c:pt>
                      <c:pt idx="9">
                        <c:v>74680</c:v>
                      </c:pt>
                      <c:pt idx="10">
                        <c:v>46183</c:v>
                      </c:pt>
                      <c:pt idx="11">
                        <c:v>17167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8D2-4B6A-BF8E-A642FE1E0FDE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Emprunts!$B$15:$J$15</c15:sqref>
                        </c15:formulaRef>
                      </c:ext>
                    </c:extLst>
                    <c:strCache>
                      <c:ptCount val="9"/>
                      <c:pt idx="0">
                        <c:v> LCL_SCI CHENNEVIERES </c:v>
                      </c:pt>
                      <c:pt idx="1">
                        <c:v>9-CHENNEVIERES</c:v>
                      </c:pt>
                      <c:pt idx="2">
                        <c:v> LCL </c:v>
                      </c:pt>
                      <c:pt idx="4">
                        <c:v>23925728</c:v>
                      </c:pt>
                      <c:pt idx="5">
                        <c:v> 734 000 </c:v>
                      </c:pt>
                      <c:pt idx="6">
                        <c:v>4,60%</c:v>
                      </c:pt>
                      <c:pt idx="7">
                        <c:v>28/10/23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Emprunts!$K$15:$BF$15</c15:sqref>
                        </c15:fullRef>
                        <c15:formulaRef>
                          <c15:sqref>(Emprunts!$K$15:$T$15,Emprunts!$V$15,Emprunts!$X$15,Emprunts!$Z$15,Emprunts!$AB$15,Emprunts!$AD$15,Emprunts!$AF$15,Emprunts!$AH$15,Emprunts!$AJ$15,Emprunts!$AL$15,Emprunts!$AN$15,Emprunts!$AP$15,Emprunts!$AR$15,Emprunts!$AT$15,Emprunts!$AV$15,Emprunts!$AX$15,Emprunts!$AZ$15,Emprunts!$BB$15,Emprunts!$BD$15,Emprunts!$BF$15)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685859.27312744362</c:v>
                      </c:pt>
                      <c:pt idx="1">
                        <c:v>645315.15765550383</c:v>
                      </c:pt>
                      <c:pt idx="2">
                        <c:v>602873.59375698224</c:v>
                      </c:pt>
                      <c:pt idx="3">
                        <c:v>558445.78160261549</c:v>
                      </c:pt>
                      <c:pt idx="4">
                        <c:v>511938.76556656288</c:v>
                      </c:pt>
                      <c:pt idx="5">
                        <c:v>463255</c:v>
                      </c:pt>
                      <c:pt idx="6">
                        <c:v>412293</c:v>
                      </c:pt>
                      <c:pt idx="7">
                        <c:v>358946</c:v>
                      </c:pt>
                      <c:pt idx="8">
                        <c:v>303103</c:v>
                      </c:pt>
                      <c:pt idx="9">
                        <c:v>244646</c:v>
                      </c:pt>
                      <c:pt idx="10">
                        <c:v>183453</c:v>
                      </c:pt>
                      <c:pt idx="11">
                        <c:v>119397</c:v>
                      </c:pt>
                      <c:pt idx="12">
                        <c:v>52342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8D2-4B6A-BF8E-A642FE1E0FDE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Emprunts!$B$16:$J$16</c15:sqref>
                        </c15:formulaRef>
                      </c:ext>
                    </c:extLst>
                    <c:strCache>
                      <c:ptCount val="9"/>
                      <c:pt idx="0">
                        <c:v> CE_SCI TAVERNY </c:v>
                      </c:pt>
                      <c:pt idx="1">
                        <c:v>9-TAVERNY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1 408 923 </c:v>
                      </c:pt>
                      <c:pt idx="6">
                        <c:v>4,93%</c:v>
                      </c:pt>
                      <c:pt idx="7">
                        <c:v>05/02/24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Emprunts!$K$16:$BF$16</c15:sqref>
                        </c15:fullRef>
                        <c15:formulaRef>
                          <c15:sqref>(Emprunts!$K$16:$T$16,Emprunts!$V$16,Emprunts!$X$16,Emprunts!$Z$16,Emprunts!$AB$16,Emprunts!$AD$16,Emprunts!$AF$16,Emprunts!$AH$16,Emprunts!$AJ$16,Emprunts!$AL$16,Emprunts!$AN$16,Emprunts!$AP$16,Emprunts!$AR$16,Emprunts!$AT$16,Emprunts!$AV$16,Emprunts!$AX$16,Emprunts!$AZ$16,Emprunts!$BB$16,Emprunts!$BD$16,Emprunts!$BF$16)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1357225.8547237345</c:v>
                      </c:pt>
                      <c:pt idx="1">
                        <c:v>1310489.8714441014</c:v>
                      </c:pt>
                      <c:pt idx="2">
                        <c:v>1261397.0218875192</c:v>
                      </c:pt>
                      <c:pt idx="3">
                        <c:v>1206315.7498224692</c:v>
                      </c:pt>
                      <c:pt idx="4">
                        <c:v>1147256.7632431318</c:v>
                      </c:pt>
                      <c:pt idx="5">
                        <c:v>1085219</c:v>
                      </c:pt>
                      <c:pt idx="6">
                        <c:v>1020054</c:v>
                      </c:pt>
                      <c:pt idx="7">
                        <c:v>951602</c:v>
                      </c:pt>
                      <c:pt idx="8">
                        <c:v>879698</c:v>
                      </c:pt>
                      <c:pt idx="9">
                        <c:v>804167</c:v>
                      </c:pt>
                      <c:pt idx="10">
                        <c:v>724828</c:v>
                      </c:pt>
                      <c:pt idx="11">
                        <c:v>641488</c:v>
                      </c:pt>
                      <c:pt idx="12">
                        <c:v>553945</c:v>
                      </c:pt>
                      <c:pt idx="13">
                        <c:v>461988</c:v>
                      </c:pt>
                      <c:pt idx="14">
                        <c:v>381824</c:v>
                      </c:pt>
                      <c:pt idx="15">
                        <c:v>263927</c:v>
                      </c:pt>
                      <c:pt idx="16">
                        <c:v>157343</c:v>
                      </c:pt>
                      <c:pt idx="17">
                        <c:v>45385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8D2-4B6A-BF8E-A642FE1E0FDE}"/>
                  </c:ext>
                </c:extLst>
              </c15:ser>
            </c15:filteredAreaSeries>
            <c15:filteredArea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Emprunts!$B$19:$J$19</c15:sqref>
                        </c15:formulaRef>
                      </c:ext>
                    </c:extLst>
                    <c:strCache>
                      <c:ptCount val="9"/>
                      <c:pt idx="0">
                        <c:v> SG_SCI ALFORTVILLE </c:v>
                      </c:pt>
                      <c:pt idx="1">
                        <c:v>9-CHENNEVIERES</c:v>
                      </c:pt>
                      <c:pt idx="2">
                        <c:v> SG </c:v>
                      </c:pt>
                      <c:pt idx="4">
                        <c:v> 223 326 101 166 </c:v>
                      </c:pt>
                      <c:pt idx="5">
                        <c:v> 840 000 </c:v>
                      </c:pt>
                      <c:pt idx="6">
                        <c:v>4,53%</c:v>
                      </c:pt>
                      <c:pt idx="7">
                        <c:v>15/12/23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Emprunts!$K$19:$BF$19</c15:sqref>
                        </c15:fullRef>
                        <c15:formulaRef>
                          <c15:sqref>(Emprunts!$K$19:$T$19,Emprunts!$V$19,Emprunts!$X$19,Emprunts!$Z$19,Emprunts!$AB$19,Emprunts!$AD$19,Emprunts!$AF$19,Emprunts!$AH$19,Emprunts!$AJ$19,Emprunts!$AL$19,Emprunts!$AN$19,Emprunts!$AP$19,Emprunts!$AR$19,Emprunts!$AT$19,Emprunts!$AV$19,Emprunts!$AX$19,Emprunts!$AZ$19,Emprunts!$BB$19,Emprunts!$BD$19,Emprunts!$BF$19)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792256.82392726513</c:v>
                      </c:pt>
                      <c:pt idx="1">
                        <c:v>746061.55869565415</c:v>
                      </c:pt>
                      <c:pt idx="2">
                        <c:v>697729.64799698698</c:v>
                      </c:pt>
                      <c:pt idx="3">
                        <c:v>647162.26668481238</c:v>
                      </c:pt>
                      <c:pt idx="4">
                        <c:v>594256.01870481262</c:v>
                      </c:pt>
                      <c:pt idx="5">
                        <c:v>538903</c:v>
                      </c:pt>
                      <c:pt idx="6">
                        <c:v>480989</c:v>
                      </c:pt>
                      <c:pt idx="7">
                        <c:v>420397</c:v>
                      </c:pt>
                      <c:pt idx="8">
                        <c:v>357002</c:v>
                      </c:pt>
                      <c:pt idx="9">
                        <c:v>290675</c:v>
                      </c:pt>
                      <c:pt idx="10">
                        <c:v>221281</c:v>
                      </c:pt>
                      <c:pt idx="11">
                        <c:v>148677</c:v>
                      </c:pt>
                      <c:pt idx="12">
                        <c:v>72714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8D2-4B6A-BF8E-A642FE1E0FDE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Emprunts!$B$20:$J$20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Emprunts!$K$20:$BF$20</c15:sqref>
                        </c15:fullRef>
                        <c15:formulaRef>
                          <c15:sqref>(Emprunts!$K$20:$T$20,Emprunts!$V$20,Emprunts!$X$20,Emprunts!$Z$20,Emprunts!$AB$20,Emprunts!$AD$20,Emprunts!$AF$20,Emprunts!$AH$20,Emprunts!$AJ$20,Emprunts!$AL$20,Emprunts!$AN$20,Emprunts!$AP$20,Emprunts!$AR$20,Emprunts!$AT$20,Emprunts!$AV$20,Emprunts!$AX$20,Emprunts!$AZ$20,Emprunts!$BB$20,Emprunts!$BD$20,Emprunts!$BF$20)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8D2-4B6A-BF8E-A642FE1E0FDE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Emprunts!$B$21:$J$21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Emprunts!$K$21:$BF$21</c15:sqref>
                        </c15:fullRef>
                        <c15:formulaRef>
                          <c15:sqref>(Emprunts!$K$21:$T$21,Emprunts!$V$21,Emprunts!$X$21,Emprunts!$Z$21,Emprunts!$AB$21,Emprunts!$AD$21,Emprunts!$AF$21,Emprunts!$AH$21,Emprunts!$AJ$21,Emprunts!$AL$21,Emprunts!$AN$21,Emprunts!$AP$21,Emprunts!$AR$21,Emprunts!$AT$21,Emprunts!$AV$21,Emprunts!$AX$21,Emprunts!$AZ$21,Emprunts!$BB$21,Emprunts!$BD$21,Emprunts!$BF$21)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8D2-4B6A-BF8E-A642FE1E0FDE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Emprunts!$B$22:$J$22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Emprunts!$K$22:$BF$22</c15:sqref>
                        </c15:fullRef>
                        <c15:formulaRef>
                          <c15:sqref>(Emprunts!$K$22:$T$22,Emprunts!$V$22,Emprunts!$X$22,Emprunts!$Z$22,Emprunts!$AB$22,Emprunts!$AD$22,Emprunts!$AF$22,Emprunts!$AH$22,Emprunts!$AJ$22,Emprunts!$AL$22,Emprunts!$AN$22,Emprunts!$AP$22,Emprunts!$AR$22,Emprunts!$AT$22,Emprunts!$AV$22,Emprunts!$AX$22,Emprunts!$AZ$22,Emprunts!$BB$22,Emprunts!$BD$22,Emprunts!$BF$22)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8D2-4B6A-BF8E-A642FE1E0FDE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Emprunts!$B$23:$J$23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Emprunts!$K$23:$BF$23</c15:sqref>
                        </c15:fullRef>
                        <c15:formulaRef>
                          <c15:sqref>(Emprunts!$K$23:$T$23,Emprunts!$V$23,Emprunts!$X$23,Emprunts!$Z$23,Emprunts!$AB$23,Emprunts!$AD$23,Emprunts!$AF$23,Emprunts!$AH$23,Emprunts!$AJ$23,Emprunts!$AL$23,Emprunts!$AN$23,Emprunts!$AP$23,Emprunts!$AR$23,Emprunts!$AT$23,Emprunts!$AV$23,Emprunts!$AX$23,Emprunts!$AZ$23,Emprunts!$BB$23,Emprunts!$BD$23,Emprunts!$BF$23)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8D2-4B6A-BF8E-A642FE1E0FDE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Emprunts!$B$24:$J$24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16 030 513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Emprunts!$K$24:$BF$24</c15:sqref>
                        </c15:fullRef>
                        <c15:formulaRef>
                          <c15:sqref>(Emprunts!$K$24:$T$24,Emprunts!$V$24,Emprunts!$X$24,Emprunts!$Z$24,Emprunts!$AB$24,Emprunts!$AD$24,Emprunts!$AF$24,Emprunts!$AH$24,Emprunts!$AJ$24,Emprunts!$AL$24,Emprunts!$AN$24,Emprunts!$AP$24,Emprunts!$AR$24,Emprunts!$AT$24,Emprunts!$AV$24,Emprunts!$AX$24,Emprunts!$AZ$24,Emprunts!$BB$24,Emprunts!$BD$24,Emprunts!$BF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  <c:pt idx="12">
                        <c:v>5459707.1982055735</c:v>
                      </c:pt>
                      <c:pt idx="13">
                        <c:v>5459707.1982055735</c:v>
                      </c:pt>
                      <c:pt idx="14">
                        <c:v>5459707.1982055735</c:v>
                      </c:pt>
                      <c:pt idx="15">
                        <c:v>5459707.1982055735</c:v>
                      </c:pt>
                      <c:pt idx="16">
                        <c:v>5459707.1982055735</c:v>
                      </c:pt>
                      <c:pt idx="17">
                        <c:v>5459707.1982055735</c:v>
                      </c:pt>
                      <c:pt idx="18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8D2-4B6A-BF8E-A642FE1E0FDE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Emprunts!$B$6:$D$6</c:f>
              <c:strCache>
                <c:ptCount val="3"/>
                <c:pt idx="0">
                  <c:v> CE_SCI 34 HAUTE </c:v>
                </c:pt>
                <c:pt idx="1">
                  <c:v>9-HAUTE</c:v>
                </c:pt>
                <c:pt idx="2">
                  <c:v> CE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Emprunts!$E$6:$AR$6</c15:sqref>
                  </c15:fullRef>
                </c:ext>
              </c:extLst>
              <c:f>(Emprunts!$E$6:$F$6,Emprunts!$J$6:$T$6,Emprunts!$V$6,Emprunts!$X$6,Emprunts!$Z$6,Emprunts!$AB$6,Emprunts!$AD$6,Emprunts!$AF$6,Emprunts!$AH$6,Emprunts!$AJ$6,Emprunts!$AL$6,Emprunts!$AN$6,Emprunts!$AP$6,Emprunts!$AR$6)</c:f>
              <c:numCache>
                <c:formatCode>0.00%</c:formatCode>
                <c:ptCount val="12"/>
                <c:pt idx="0" formatCode="_-* #\ ##0_-;\-* #\ ##0_-;_-* &quot;-&quot;??_-;_-@_-">
                  <c:v>305556.77369127376</c:v>
                </c:pt>
                <c:pt idx="1" formatCode="_-* #\ ##0_-;\-* #\ ##0_-;_-* &quot;-&quot;??_-;_-@_-">
                  <c:v>277076.47760202223</c:v>
                </c:pt>
                <c:pt idx="2" formatCode="_-* #\ ##0_-;\-* #\ ##0_-;_-* &quot;-&quot;??_-;_-@_-">
                  <c:v>248209.30957698025</c:v>
                </c:pt>
                <c:pt idx="3" formatCode="_-* #\ ##0_-;\-* #\ ##0_-;_-* &quot;-&quot;??_-;_-@_-">
                  <c:v>218950.01440762632</c:v>
                </c:pt>
                <c:pt idx="4" formatCode="_-* #\ ##0_-;\-* #\ ##0_-;_-* &quot;-&quot;??_-;_-@_-">
                  <c:v>189293.2654994996</c:v>
                </c:pt>
                <c:pt idx="5" formatCode="_-* #\ ##0_-;\-* #\ ##0_-;_-* &quot;-&quot;??_-;_-@_-">
                  <c:v>159234</c:v>
                </c:pt>
                <c:pt idx="6" formatCode="_-* #\ ##0_-;\-* #\ ##0_-;_-* &quot;-&quot;??_-;_-@_-">
                  <c:v>128766</c:v>
                </c:pt>
                <c:pt idx="7" formatCode="_-* #\ ##0_-;\-* #\ ##0_-;_-* &quot;-&quot;??_-;_-@_-">
                  <c:v>97884</c:v>
                </c:pt>
                <c:pt idx="8" formatCode="_-* #\ ##0_-;\-* #\ ##0_-;_-* &quot;-&quot;??_-;_-@_-">
                  <c:v>66583</c:v>
                </c:pt>
                <c:pt idx="9" formatCode="_-* #\ ##0_-;\-* #\ ##0_-;_-* &quot;-&quot;??_-;_-@_-">
                  <c:v>34856</c:v>
                </c:pt>
                <c:pt idx="10" formatCode="_-* #\ ##0_-;\-* #\ ##0_-;_-* &quot;-&quot;??_-;_-@_-">
                  <c:v>0</c:v>
                </c:pt>
                <c:pt idx="11" formatCode="_-* #\ ##0_-;\-* #\ 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D-42E7-93FD-FC7DDCE2FAEE}"/>
            </c:ext>
          </c:extLst>
        </c:ser>
        <c:ser>
          <c:idx val="2"/>
          <c:order val="2"/>
          <c:tx>
            <c:strRef>
              <c:f>Emprunts!$B$7:$D$7</c:f>
              <c:strCache>
                <c:ptCount val="3"/>
                <c:pt idx="0">
                  <c:v> CE_SCI 34 HAUTE </c:v>
                </c:pt>
                <c:pt idx="1">
                  <c:v>9-HAUTE</c:v>
                </c:pt>
                <c:pt idx="2">
                  <c:v> CE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Emprunts!$E$7:$AR$7</c15:sqref>
                  </c15:fullRef>
                </c:ext>
              </c:extLst>
              <c:f>(Emprunts!$E$7:$F$7,Emprunts!$J$7:$T$7,Emprunts!$V$7,Emprunts!$X$7,Emprunts!$Z$7,Emprunts!$AB$7,Emprunts!$AD$7,Emprunts!$AF$7,Emprunts!$AH$7,Emprunts!$AJ$7,Emprunts!$AL$7,Emprunts!$AN$7,Emprunts!$AP$7,Emprunts!$AR$7)</c:f>
              <c:numCache>
                <c:formatCode>0.00%</c:formatCode>
                <c:ptCount val="12"/>
                <c:pt idx="0" formatCode="_-* #\ ##0_-;\-* #\ ##0_-;_-* &quot;-&quot;??_-;_-@_-">
                  <c:v>1175368.7829993453</c:v>
                </c:pt>
                <c:pt idx="1" formatCode="_-* #\ ##0_-;\-* #\ ##0_-;_-* &quot;-&quot;??_-;_-@_-">
                  <c:v>1070464.9101257892</c:v>
                </c:pt>
                <c:pt idx="2" formatCode="_-* #\ ##0_-;\-* #\ ##0_-;_-* &quot;-&quot;??_-;_-@_-">
                  <c:v>964136.03927316284</c:v>
                </c:pt>
                <c:pt idx="3" formatCode="_-* #\ ##0_-;\-* #\ ##0_-;_-* &quot;-&quot;??_-;_-@_-">
                  <c:v>856362.81348938483</c:v>
                </c:pt>
                <c:pt idx="4" formatCode="_-* #\ ##0_-;\-* #\ ##0_-;_-* &quot;-&quot;??_-;_-@_-">
                  <c:v>747125.61288053193</c:v>
                </c:pt>
                <c:pt idx="5" formatCode="_-* #\ ##0_-;\-* #\ ##0_-;_-* &quot;-&quot;??_-;_-@_-">
                  <c:v>636405</c:v>
                </c:pt>
                <c:pt idx="6" formatCode="_-* #\ ##0_-;\-* #\ ##0_-;_-* &quot;-&quot;??_-;_-@_-">
                  <c:v>524179</c:v>
                </c:pt>
                <c:pt idx="7" formatCode="_-* #\ ##0_-;\-* #\ ##0_-;_-* &quot;-&quot;??_-;_-@_-">
                  <c:v>410430</c:v>
                </c:pt>
                <c:pt idx="8" formatCode="_-* #\ ##0_-;\-* #\ ##0_-;_-* &quot;-&quot;??_-;_-@_-">
                  <c:v>295135</c:v>
                </c:pt>
                <c:pt idx="9" formatCode="_-* #\ ##0_-;\-* #\ ##0_-;_-* &quot;-&quot;??_-;_-@_-">
                  <c:v>178274</c:v>
                </c:pt>
                <c:pt idx="10" formatCode="_-* #\ ##0_-;\-* #\ ##0_-;_-* &quot;-&quot;??_-;_-@_-">
                  <c:v>59826</c:v>
                </c:pt>
                <c:pt idx="11" formatCode="_-* #\ ##0_-;\-* #\ 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CD-42E7-93FD-FC7DDCE2FAEE}"/>
            </c:ext>
          </c:extLst>
        </c:ser>
        <c:ser>
          <c:idx val="3"/>
          <c:order val="3"/>
          <c:tx>
            <c:strRef>
              <c:f>Emprunts!$B$8:$D$8</c:f>
              <c:strCache>
                <c:ptCount val="3"/>
                <c:pt idx="0">
                  <c:v> SG_SCI 34 HAUTE </c:v>
                </c:pt>
                <c:pt idx="1">
                  <c:v>9-HAUTE</c:v>
                </c:pt>
                <c:pt idx="2">
                  <c:v> SG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Emprunts!$E$8:$AR$8</c15:sqref>
                  </c15:fullRef>
                </c:ext>
              </c:extLst>
              <c:f>(Emprunts!$E$8:$F$8,Emprunts!$J$8:$T$8,Emprunts!$V$8,Emprunts!$X$8,Emprunts!$Z$8,Emprunts!$AB$8,Emprunts!$AD$8,Emprunts!$AF$8,Emprunts!$AH$8,Emprunts!$AJ$8,Emprunts!$AL$8,Emprunts!$AN$8,Emprunts!$AP$8,Emprunts!$AR$8)</c:f>
              <c:numCache>
                <c:formatCode>0.00%</c:formatCode>
                <c:ptCount val="12"/>
                <c:pt idx="0" formatCode="_-* #\ ##0_-;\-* #\ ##0_-;_-* &quot;-&quot;??_-;_-@_-">
                  <c:v>308928.84723423043</c:v>
                </c:pt>
                <c:pt idx="1" formatCode="_-* #\ ##0_-;\-* #\ ##0_-;_-* &quot;-&quot;??_-;_-@_-">
                  <c:v>262584.23018713825</c:v>
                </c:pt>
                <c:pt idx="2" formatCode="_-* #\ ##0_-;\-* #\ ##0_-;_-* &quot;-&quot;??_-;_-@_-">
                  <c:v>214576.91834340864</c:v>
                </c:pt>
                <c:pt idx="3" formatCode="_-* #\ ##0_-;\-* #\ ##0_-;_-* &quot;-&quot;??_-;_-@_-">
                  <c:v>164847.25959751342</c:v>
                </c:pt>
                <c:pt idx="4" formatCode="_-* #\ ##0_-;\-* #\ ##0_-;_-* &quot;-&quot;??_-;_-@_-">
                  <c:v>113333.46171953013</c:v>
                </c:pt>
                <c:pt idx="5" formatCode="_-* #\ ##0_-;\-* #\ ##0_-;_-* &quot;-&quot;??_-;_-@_-">
                  <c:v>59972</c:v>
                </c:pt>
                <c:pt idx="6" formatCode="_-* #\ ##0_-;\-* #\ ##0_-;_-* &quot;-&quot;??_-;_-@_-">
                  <c:v>4965</c:v>
                </c:pt>
                <c:pt idx="7" formatCode="_-* #\ ##0_-;\-* #\ 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CD-42E7-93FD-FC7DDCE2F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Emprunts!$B$5:$D$5</c15:sqref>
                        </c15:formulaRef>
                      </c:ext>
                    </c:extLst>
                    <c:strCache>
                      <c:ptCount val="3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Emprunts!$E$5:$AR$5</c15:sqref>
                        </c15:fullRef>
                        <c15:formulaRef>
                          <c15:sqref>(Emprunts!$E$5:$F$5,Emprunts!$J$5:$T$5,Emprunts!$V$5,Emprunts!$X$5,Emprunts!$Z$5,Emprunts!$AB$5,Emprunts!$AD$5,Emprunts!$AF$5,Emprunts!$AH$5,Emprunts!$AJ$5,Emprunts!$AL$5,Emprunts!$AN$5,Emprunts!$AP$5,Emprunts!$AR$5)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2.8812288073822856E-3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5CD-42E7-93FD-FC7DDCE2FAEE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Emprunts!$B$9:$D$9</c15:sqref>
                        </c15:formulaRef>
                      </c:ext>
                    </c:extLst>
                    <c:strCache>
                      <c:ptCount val="3"/>
                      <c:pt idx="0">
                        <c:v> BNP_SCI LEGRAND </c:v>
                      </c:pt>
                      <c:pt idx="1">
                        <c:v>9-LEGRAND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Emprunts!$E$9:$AR$9</c15:sqref>
                        </c15:fullRef>
                        <c15:formulaRef>
                          <c15:sqref>(Emprunts!$E$9:$F$9,Emprunts!$J$9:$T$9,Emprunts!$V$9,Emprunts!$X$9,Emprunts!$Z$9,Emprunts!$AB$9,Emprunts!$AD$9,Emprunts!$AF$9,Emprunts!$AH$9,Emprunts!$AJ$9,Emprunts!$AL$9,Emprunts!$AN$9,Emprunts!$AP$9,Emprunts!$AR$9)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5217.0699999996341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5CD-42E7-93FD-FC7DDCE2FAEE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Emprunts!$B$10:$D$10</c15:sqref>
                        </c15:formulaRef>
                      </c:ext>
                    </c:extLst>
                    <c:strCache>
                      <c:ptCount val="3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Emprunts!$E$10:$AR$10</c15:sqref>
                        </c15:fullRef>
                        <c15:formulaRef>
                          <c15:sqref>(Emprunts!$E$10:$F$10,Emprunts!$J$10:$T$10,Emprunts!$V$10,Emprunts!$X$10,Emprunts!$Z$10,Emprunts!$AB$10,Emprunts!$AD$10,Emprunts!$AF$10,Emprunts!$AH$10,Emprunts!$AJ$10,Emprunts!$AL$10,Emprunts!$AN$10,Emprunts!$AP$10,Emprunts!$AR$10)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0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5CD-42E7-93FD-FC7DDCE2FAEE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Emprunts!$B$11:$D$11</c15:sqref>
                        </c15:formulaRef>
                      </c:ext>
                    </c:extLst>
                    <c:strCache>
                      <c:ptCount val="3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Emprunts!$E$11:$AR$11</c15:sqref>
                        </c15:fullRef>
                        <c15:formulaRef>
                          <c15:sqref>(Emprunts!$E$11:$F$11,Emprunts!$J$11:$T$11,Emprunts!$V$11,Emprunts!$X$11,Emprunts!$Z$11,Emprunts!$AB$11,Emprunts!$AD$11,Emprunts!$AF$11,Emprunts!$AH$11,Emprunts!$AJ$11,Emprunts!$AL$11,Emprunts!$AN$11,Emprunts!$AP$11,Emprunts!$AR$11)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0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5CD-42E7-93FD-FC7DDCE2FAEE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Emprunts!$B$12:$D$12</c15:sqref>
                        </c15:formulaRef>
                      </c:ext>
                    </c:extLst>
                    <c:strCache>
                      <c:ptCount val="3"/>
                      <c:pt idx="0">
                        <c:v> SG_SCI LEGRAND </c:v>
                      </c:pt>
                      <c:pt idx="1">
                        <c:v>9-LEGRAND</c:v>
                      </c:pt>
                      <c:pt idx="2">
                        <c:v> SG 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Emprunts!$E$12:$AR$12</c15:sqref>
                        </c15:fullRef>
                        <c15:formulaRef>
                          <c15:sqref>(Emprunts!$E$12:$F$12,Emprunts!$J$12:$T$12,Emprunts!$V$12,Emprunts!$X$12,Emprunts!$Z$12,Emprunts!$AB$12,Emprunts!$AD$12,Emprunts!$AF$12,Emprunts!$AH$12,Emprunts!$AJ$12,Emprunts!$AL$12,Emprunts!$AN$12,Emprunts!$AP$12,Emprunts!$AR$12)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421888.90549874143</c:v>
                      </c:pt>
                      <c:pt idx="1" formatCode="_-* #\ ##0_-;\-* #\ ##0_-;_-* &quot;-&quot;??_-;_-@_-">
                        <c:v>369652.16752447974</c:v>
                      </c:pt>
                      <c:pt idx="2" formatCode="_-* #\ ##0_-;\-* #\ ##0_-;_-* &quot;-&quot;??_-;_-@_-">
                        <c:v>316419.55787956738</c:v>
                      </c:pt>
                      <c:pt idx="3" formatCode="_-* #\ ##0_-;\-* #\ ##0_-;_-* &quot;-&quot;??_-;_-@_-">
                        <c:v>262172.09068504494</c:v>
                      </c:pt>
                      <c:pt idx="4" formatCode="_-* #\ ##0_-;\-* #\ ##0_-;_-* &quot;-&quot;??_-;_-@_-">
                        <c:v>206890.41810407222</c:v>
                      </c:pt>
                      <c:pt idx="5" formatCode="_-* #\ ##0_-;\-* #\ ##0_-;_-* &quot;-&quot;??_-;_-@_-">
                        <c:v>150155</c:v>
                      </c:pt>
                      <c:pt idx="6" formatCode="_-* #\ ##0_-;\-* #\ ##0_-;_-* &quot;-&quot;??_-;_-@_-">
                        <c:v>93145</c:v>
                      </c:pt>
                      <c:pt idx="7" formatCode="_-* #\ ##0_-;\-* #\ ##0_-;_-* &quot;-&quot;??_-;_-@_-">
                        <c:v>34641</c:v>
                      </c:pt>
                      <c:pt idx="8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5CD-42E7-93FD-FC7DDCE2FAEE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Emprunts!$B$13:$D$13</c15:sqref>
                        </c15:formulaRef>
                      </c:ext>
                    </c:extLst>
                    <c:strCache>
                      <c:ptCount val="3"/>
                      <c:pt idx="0">
                        <c:v> CA_SCI ORIENT </c:v>
                      </c:pt>
                      <c:pt idx="1">
                        <c:v>9-ORIENT</c:v>
                      </c:pt>
                      <c:pt idx="2">
                        <c:v> CA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Emprunts!$E$13:$AR$13</c15:sqref>
                        </c15:fullRef>
                        <c15:formulaRef>
                          <c15:sqref>(Emprunts!$E$13:$F$13,Emprunts!$J$13:$T$13,Emprunts!$V$13,Emprunts!$X$13,Emprunts!$Z$13,Emprunts!$AB$13,Emprunts!$AD$13,Emprunts!$AF$13,Emprunts!$AH$13,Emprunts!$AJ$13,Emprunts!$AL$13,Emprunts!$AN$13,Emprunts!$AP$13,Emprunts!$AR$13)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553109.81484609994</c:v>
                      </c:pt>
                      <c:pt idx="1" formatCode="_-* #\ ##0_-;\-* #\ ##0_-;_-* &quot;-&quot;??_-;_-@_-">
                        <c:v>511333.5249373964</c:v>
                      </c:pt>
                      <c:pt idx="2" formatCode="_-* #\ ##0_-;\-* #\ ##0_-;_-* &quot;-&quot;??_-;_-@_-">
                        <c:v>468968.59943358751</c:v>
                      </c:pt>
                      <c:pt idx="3" formatCode="_-* #\ ##0_-;\-* #\ ##0_-;_-* &quot;-&quot;??_-;_-@_-">
                        <c:v>426006.74435106228</c:v>
                      </c:pt>
                      <c:pt idx="4" formatCode="_-* #\ ##0_-;\-* #\ ##0_-;_-* &quot;-&quot;??_-;_-@_-">
                        <c:v>382439.54884245817</c:v>
                      </c:pt>
                      <c:pt idx="5" formatCode="_-* #\ ##0_-;\-* #\ ##0_-;_-* &quot;-&quot;??_-;_-@_-">
                        <c:v>338258</c:v>
                      </c:pt>
                      <c:pt idx="6" formatCode="_-* #\ ##0_-;\-* #\ ##0_-;_-* &quot;-&quot;??_-;_-@_-">
                        <c:v>293455</c:v>
                      </c:pt>
                      <c:pt idx="7" formatCode="_-* #\ ##0_-;\-* #\ ##0_-;_-* &quot;-&quot;??_-;_-@_-">
                        <c:v>248020</c:v>
                      </c:pt>
                      <c:pt idx="8" formatCode="_-* #\ ##0_-;\-* #\ ##0_-;_-* &quot;-&quot;??_-;_-@_-">
                        <c:v>201945</c:v>
                      </c:pt>
                      <c:pt idx="9" formatCode="_-* #\ ##0_-;\-* #\ ##0_-;_-* &quot;-&quot;??_-;_-@_-">
                        <c:v>155221</c:v>
                      </c:pt>
                      <c:pt idx="10" formatCode="_-* #\ ##0_-;\-* #\ ##0_-;_-* &quot;-&quot;??_-;_-@_-">
                        <c:v>107838</c:v>
                      </c:pt>
                      <c:pt idx="11" formatCode="_-* #\ ##0_-;\-* #\ ##0_-;_-* &quot;-&quot;??_-;_-@_-">
                        <c:v>59788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5CD-42E7-93FD-FC7DDCE2FAEE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Emprunts!$B$14:$D$14</c15:sqref>
                        </c15:formulaRef>
                      </c:ext>
                    </c:extLst>
                    <c:strCache>
                      <c:ptCount val="3"/>
                      <c:pt idx="0">
                        <c:v> LCL_SCI ORIENT </c:v>
                      </c:pt>
                      <c:pt idx="1">
                        <c:v>9-ORIENT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Emprunts!$E$14:$AR$14</c15:sqref>
                        </c15:fullRef>
                        <c15:formulaRef>
                          <c15:sqref>(Emprunts!$E$14:$F$14,Emprunts!$J$14:$T$14,Emprunts!$V$14,Emprunts!$X$14,Emprunts!$Z$14,Emprunts!$AB$14,Emprunts!$AD$14,Emprunts!$AF$14,Emprunts!$AH$14,Emprunts!$AJ$14,Emprunts!$AL$14,Emprunts!$AN$14,Emprunts!$AP$14,Emprunts!$AR$14)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309355.54274141247</c:v>
                      </c:pt>
                      <c:pt idx="1" formatCode="_-* #\ ##0_-;\-* #\ ##0_-;_-* &quot;-&quot;??_-;_-@_-">
                        <c:v>285116.7821471584</c:v>
                      </c:pt>
                      <c:pt idx="2" formatCode="_-* #\ ##0_-;\-* #\ ##0_-;_-* &quot;-&quot;??_-;_-@_-">
                        <c:v>260438.10634809287</c:v>
                      </c:pt>
                      <c:pt idx="3" formatCode="_-* #\ ##0_-;\-* #\ ##0_-;_-* &quot;-&quot;??_-;_-@_-">
                        <c:v>235311.53121537936</c:v>
                      </c:pt>
                      <c:pt idx="4" formatCode="_-* #\ ##0_-;\-* #\ ##0_-;_-* &quot;-&quot;??_-;_-@_-">
                        <c:v>209728.9277142708</c:v>
                      </c:pt>
                      <c:pt idx="5" formatCode="_-* #\ ##0_-;\-* #\ ##0_-;_-* &quot;-&quot;??_-;_-@_-">
                        <c:v>183682</c:v>
                      </c:pt>
                      <c:pt idx="6" formatCode="_-* #\ ##0_-;\-* #\ ##0_-;_-* &quot;-&quot;??_-;_-@_-">
                        <c:v>157162</c:v>
                      </c:pt>
                      <c:pt idx="7" formatCode="_-* #\ ##0_-;\-* #\ ##0_-;_-* &quot;-&quot;??_-;_-@_-">
                        <c:v>130161</c:v>
                      </c:pt>
                      <c:pt idx="8" formatCode="_-* #\ ##0_-;\-* #\ ##0_-;_-* &quot;-&quot;??_-;_-@_-">
                        <c:v>102670</c:v>
                      </c:pt>
                      <c:pt idx="9" formatCode="_-* #\ ##0_-;\-* #\ ##0_-;_-* &quot;-&quot;??_-;_-@_-">
                        <c:v>74680</c:v>
                      </c:pt>
                      <c:pt idx="10" formatCode="_-* #\ ##0_-;\-* #\ ##0_-;_-* &quot;-&quot;??_-;_-@_-">
                        <c:v>46183</c:v>
                      </c:pt>
                      <c:pt idx="11" formatCode="_-* #\ ##0_-;\-* #\ ##0_-;_-* &quot;-&quot;??_-;_-@_-">
                        <c:v>17167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5CD-42E7-93FD-FC7DDCE2FAEE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Emprunts!$B$15:$D$15</c15:sqref>
                        </c15:formulaRef>
                      </c:ext>
                    </c:extLst>
                    <c:strCache>
                      <c:ptCount val="3"/>
                      <c:pt idx="0">
                        <c:v> LCL_SCI CHENNEVIERES </c:v>
                      </c:pt>
                      <c:pt idx="1">
                        <c:v>9-CHENNEVIERES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Emprunts!$E$15:$AR$15</c15:sqref>
                        </c15:fullRef>
                        <c15:formulaRef>
                          <c15:sqref>(Emprunts!$E$15:$F$15,Emprunts!$J$15:$T$15,Emprunts!$V$15,Emprunts!$X$15,Emprunts!$Z$15,Emprunts!$AB$15,Emprunts!$AD$15,Emprunts!$AF$15,Emprunts!$AH$15,Emprunts!$AJ$15,Emprunts!$AL$15,Emprunts!$AN$15,Emprunts!$AP$15,Emprunts!$AR$15)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685859.27312744362</c:v>
                      </c:pt>
                      <c:pt idx="1" formatCode="_-* #\ ##0_-;\-* #\ ##0_-;_-* &quot;-&quot;??_-;_-@_-">
                        <c:v>645315.15765550383</c:v>
                      </c:pt>
                      <c:pt idx="2" formatCode="_-* #\ ##0_-;\-* #\ ##0_-;_-* &quot;-&quot;??_-;_-@_-">
                        <c:v>602873.59375698224</c:v>
                      </c:pt>
                      <c:pt idx="3" formatCode="_-* #\ ##0_-;\-* #\ ##0_-;_-* &quot;-&quot;??_-;_-@_-">
                        <c:v>558445.78160261549</c:v>
                      </c:pt>
                      <c:pt idx="4" formatCode="_-* #\ ##0_-;\-* #\ ##0_-;_-* &quot;-&quot;??_-;_-@_-">
                        <c:v>511938.76556656288</c:v>
                      </c:pt>
                      <c:pt idx="5" formatCode="_-* #\ ##0_-;\-* #\ ##0_-;_-* &quot;-&quot;??_-;_-@_-">
                        <c:v>463255</c:v>
                      </c:pt>
                      <c:pt idx="6" formatCode="_-* #\ ##0_-;\-* #\ ##0_-;_-* &quot;-&quot;??_-;_-@_-">
                        <c:v>412293</c:v>
                      </c:pt>
                      <c:pt idx="7" formatCode="_-* #\ ##0_-;\-* #\ ##0_-;_-* &quot;-&quot;??_-;_-@_-">
                        <c:v>358946</c:v>
                      </c:pt>
                      <c:pt idx="8" formatCode="_-* #\ ##0_-;\-* #\ ##0_-;_-* &quot;-&quot;??_-;_-@_-">
                        <c:v>303103</c:v>
                      </c:pt>
                      <c:pt idx="9" formatCode="_-* #\ ##0_-;\-* #\ ##0_-;_-* &quot;-&quot;??_-;_-@_-">
                        <c:v>244646</c:v>
                      </c:pt>
                      <c:pt idx="10" formatCode="_-* #\ ##0_-;\-* #\ ##0_-;_-* &quot;-&quot;??_-;_-@_-">
                        <c:v>183453</c:v>
                      </c:pt>
                      <c:pt idx="11" formatCode="_-* #\ ##0_-;\-* #\ ##0_-;_-* &quot;-&quot;??_-;_-@_-">
                        <c:v>119397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5CD-42E7-93FD-FC7DDCE2FAEE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Emprunts!$B$16:$D$16</c15:sqref>
                        </c15:formulaRef>
                      </c:ext>
                    </c:extLst>
                    <c:strCache>
                      <c:ptCount val="3"/>
                      <c:pt idx="0">
                        <c:v> CE_SCI TAVERNY </c:v>
                      </c:pt>
                      <c:pt idx="1">
                        <c:v>9-TAVERNY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Emprunts!$E$16:$AR$16</c15:sqref>
                        </c15:fullRef>
                        <c15:formulaRef>
                          <c15:sqref>(Emprunts!$E$16:$F$16,Emprunts!$J$16:$T$16,Emprunts!$V$16,Emprunts!$X$16,Emprunts!$Z$16,Emprunts!$AB$16,Emprunts!$AD$16,Emprunts!$AF$16,Emprunts!$AH$16,Emprunts!$AJ$16,Emprunts!$AL$16,Emprunts!$AN$16,Emprunts!$AP$16,Emprunts!$AR$16)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1357225.8547237345</c:v>
                      </c:pt>
                      <c:pt idx="1" formatCode="_-* #\ ##0_-;\-* #\ ##0_-;_-* &quot;-&quot;??_-;_-@_-">
                        <c:v>1310489.8714441014</c:v>
                      </c:pt>
                      <c:pt idx="2" formatCode="_-* #\ ##0_-;\-* #\ ##0_-;_-* &quot;-&quot;??_-;_-@_-">
                        <c:v>1261397.0218875192</c:v>
                      </c:pt>
                      <c:pt idx="3" formatCode="_-* #\ ##0_-;\-* #\ ##0_-;_-* &quot;-&quot;??_-;_-@_-">
                        <c:v>1206315.7498224692</c:v>
                      </c:pt>
                      <c:pt idx="4" formatCode="_-* #\ ##0_-;\-* #\ ##0_-;_-* &quot;-&quot;??_-;_-@_-">
                        <c:v>1147256.7632431318</c:v>
                      </c:pt>
                      <c:pt idx="5" formatCode="_-* #\ ##0_-;\-* #\ ##0_-;_-* &quot;-&quot;??_-;_-@_-">
                        <c:v>1085219</c:v>
                      </c:pt>
                      <c:pt idx="6" formatCode="_-* #\ ##0_-;\-* #\ ##0_-;_-* &quot;-&quot;??_-;_-@_-">
                        <c:v>1020054</c:v>
                      </c:pt>
                      <c:pt idx="7" formatCode="_-* #\ ##0_-;\-* #\ ##0_-;_-* &quot;-&quot;??_-;_-@_-">
                        <c:v>951602</c:v>
                      </c:pt>
                      <c:pt idx="8" formatCode="_-* #\ ##0_-;\-* #\ ##0_-;_-* &quot;-&quot;??_-;_-@_-">
                        <c:v>879698</c:v>
                      </c:pt>
                      <c:pt idx="9" formatCode="_-* #\ ##0_-;\-* #\ ##0_-;_-* &quot;-&quot;??_-;_-@_-">
                        <c:v>804167</c:v>
                      </c:pt>
                      <c:pt idx="10" formatCode="_-* #\ ##0_-;\-* #\ ##0_-;_-* &quot;-&quot;??_-;_-@_-">
                        <c:v>724828</c:v>
                      </c:pt>
                      <c:pt idx="11" formatCode="_-* #\ ##0_-;\-* #\ ##0_-;_-* &quot;-&quot;??_-;_-@_-">
                        <c:v>641488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5CD-42E7-93FD-FC7DDCE2FAEE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Emprunts!$B$17:$D$17</c15:sqref>
                        </c15:formulaRef>
                      </c:ext>
                    </c:extLst>
                    <c:strCache>
                      <c:ptCount val="3"/>
                      <c:pt idx="0">
                        <c:v> CE_SCI CHATOU </c:v>
                      </c:pt>
                      <c:pt idx="1">
                        <c:v>9-GJB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Emprunts!$E$17:$AR$17</c15:sqref>
                        </c15:fullRef>
                        <c15:formulaRef>
                          <c15:sqref>(Emprunts!$E$17:$F$17,Emprunts!$J$17:$T$17,Emprunts!$V$17,Emprunts!$X$17,Emprunts!$Z$17,Emprunts!$AB$17,Emprunts!$AD$17,Emprunts!$AF$17,Emprunts!$AH$17,Emprunts!$AJ$17,Emprunts!$AL$17,Emprunts!$AN$17,Emprunts!$AP$17,Emprunts!$AR$17)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1092667.847572482</c:v>
                      </c:pt>
                      <c:pt idx="1" formatCode="_-* #\ ##0_-;\-* #\ ##0_-;_-* &quot;-&quot;??_-;_-@_-">
                        <c:v>1032371.616965641</c:v>
                      </c:pt>
                      <c:pt idx="2" formatCode="_-* #\ ##0_-;\-* #\ ##0_-;_-* &quot;-&quot;??_-;_-@_-">
                        <c:v>968927.36984069122</c:v>
                      </c:pt>
                      <c:pt idx="3" formatCode="_-* #\ ##0_-;\-* #\ ##0_-;_-* &quot;-&quot;??_-;_-@_-">
                        <c:v>902170.75084907142</c:v>
                      </c:pt>
                      <c:pt idx="4" formatCode="_-* #\ ##0_-;\-* #\ ##0_-;_-* &quot;-&quot;??_-;_-@_-">
                        <c:v>831928.82378489524</c:v>
                      </c:pt>
                      <c:pt idx="5" formatCode="_-* #\ ##0_-;\-* #\ ##0_-;_-* &quot;-&quot;??_-;_-@_-">
                        <c:v>758020</c:v>
                      </c:pt>
                      <c:pt idx="6" formatCode="_-* #\ ##0_-;\-* #\ ##0_-;_-* &quot;-&quot;??_-;_-@_-">
                        <c:v>680252</c:v>
                      </c:pt>
                      <c:pt idx="7" formatCode="_-* #\ ##0_-;\-* #\ ##0_-;_-* &quot;-&quot;??_-;_-@_-">
                        <c:v>598424</c:v>
                      </c:pt>
                      <c:pt idx="8" formatCode="_-* #\ ##0_-;\-* #\ ##0_-;_-* &quot;-&quot;??_-;_-@_-">
                        <c:v>512323</c:v>
                      </c:pt>
                      <c:pt idx="9" formatCode="_-* #\ ##0_-;\-* #\ ##0_-;_-* &quot;-&quot;??_-;_-@_-">
                        <c:v>421728</c:v>
                      </c:pt>
                      <c:pt idx="10" formatCode="_-* #\ ##0_-;\-* #\ ##0_-;_-* &quot;-&quot;??_-;_-@_-">
                        <c:v>326402</c:v>
                      </c:pt>
                      <c:pt idx="11" formatCode="_-* #\ ##0_-;\-* #\ ##0_-;_-* &quot;-&quot;??_-;_-@_-">
                        <c:v>226100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5CD-42E7-93FD-FC7DDCE2FAEE}"/>
                  </c:ext>
                </c:extLst>
              </c15:ser>
            </c15:filteredAreaSeries>
            <c15:filteredArea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Emprunts!$B$18:$D$18</c15:sqref>
                        </c15:formulaRef>
                      </c:ext>
                    </c:extLst>
                    <c:strCache>
                      <c:ptCount val="3"/>
                      <c:pt idx="0">
                        <c:v> LCL_SCI PLESSIS </c:v>
                      </c:pt>
                      <c:pt idx="1">
                        <c:v>9-GJB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Emprunts!$E$18:$AR$18</c15:sqref>
                        </c15:fullRef>
                        <c15:formulaRef>
                          <c15:sqref>(Emprunts!$E$18:$F$18,Emprunts!$J$18:$T$18,Emprunts!$V$18,Emprunts!$X$18,Emprunts!$Z$18,Emprunts!$AB$18,Emprunts!$AD$18,Emprunts!$AF$18,Emprunts!$AH$18,Emprunts!$AJ$18,Emprunts!$AL$18,Emprunts!$AN$18,Emprunts!$AP$18,Emprunts!$AR$18)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686767.34036551241</c:v>
                      </c:pt>
                      <c:pt idx="1" formatCode="_-* #\ ##0_-;\-* #\ ##0_-;_-* &quot;-&quot;??_-;_-@_-">
                        <c:v>649186.76537886821</c:v>
                      </c:pt>
                      <c:pt idx="2" formatCode="_-* #\ ##0_-;\-* #\ ##0_-;_-* &quot;-&quot;??_-;_-@_-">
                        <c:v>609840.56729671638</c:v>
                      </c:pt>
                      <c:pt idx="3" formatCode="_-* #\ ##0_-;\-* #\ ##0_-;_-* &quot;-&quot;??_-;_-@_-">
                        <c:v>568645.79302649479</c:v>
                      </c:pt>
                      <c:pt idx="4" formatCode="_-* #\ ##0_-;\-* #\ ##0_-;_-* &quot;-&quot;??_-;_-@_-">
                        <c:v>525515.59214580816</c:v>
                      </c:pt>
                      <c:pt idx="5" formatCode="_-* #\ ##0_-;\-* #\ ##0_-;_-* &quot;-&quot;??_-;_-@_-">
                        <c:v>480359</c:v>
                      </c:pt>
                      <c:pt idx="6" formatCode="_-* #\ ##0_-;\-* #\ ##0_-;_-* &quot;-&quot;??_-;_-@_-">
                        <c:v>433081</c:v>
                      </c:pt>
                      <c:pt idx="7" formatCode="_-* #\ ##0_-;\-* #\ ##0_-;_-* &quot;-&quot;??_-;_-@_-">
                        <c:v>383582</c:v>
                      </c:pt>
                      <c:pt idx="8" formatCode="_-* #\ ##0_-;\-* #\ ##0_-;_-* &quot;-&quot;??_-;_-@_-">
                        <c:v>331757</c:v>
                      </c:pt>
                      <c:pt idx="9" formatCode="_-* #\ ##0_-;\-* #\ ##0_-;_-* &quot;-&quot;??_-;_-@_-">
                        <c:v>277497</c:v>
                      </c:pt>
                      <c:pt idx="10" formatCode="_-* #\ ##0_-;\-* #\ ##0_-;_-* &quot;-&quot;??_-;_-@_-">
                        <c:v>220688</c:v>
                      </c:pt>
                      <c:pt idx="11" formatCode="_-* #\ ##0_-;\-* #\ ##0_-;_-* &quot;-&quot;??_-;_-@_-">
                        <c:v>161209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5CD-42E7-93FD-FC7DDCE2FAEE}"/>
                  </c:ext>
                </c:extLst>
              </c15:ser>
            </c15:filteredAreaSeries>
            <c15:filteredArea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Emprunts!$B$19:$D$19</c15:sqref>
                        </c15:formulaRef>
                      </c:ext>
                    </c:extLst>
                    <c:strCache>
                      <c:ptCount val="3"/>
                      <c:pt idx="0">
                        <c:v> SG_SCI ALFORTVILLE </c:v>
                      </c:pt>
                      <c:pt idx="1">
                        <c:v>9-CHENNEVIERES</c:v>
                      </c:pt>
                      <c:pt idx="2">
                        <c:v> SG 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Emprunts!$E$19:$AR$19</c15:sqref>
                        </c15:fullRef>
                        <c15:formulaRef>
                          <c15:sqref>(Emprunts!$E$19:$F$19,Emprunts!$J$19:$T$19,Emprunts!$V$19,Emprunts!$X$19,Emprunts!$Z$19,Emprunts!$AB$19,Emprunts!$AD$19,Emprunts!$AF$19,Emprunts!$AH$19,Emprunts!$AJ$19,Emprunts!$AL$19,Emprunts!$AN$19,Emprunts!$AP$19,Emprunts!$AR$19)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792256.82392726513</c:v>
                      </c:pt>
                      <c:pt idx="1" formatCode="_-* #\ ##0_-;\-* #\ ##0_-;_-* &quot;-&quot;??_-;_-@_-">
                        <c:v>746061.55869565415</c:v>
                      </c:pt>
                      <c:pt idx="2" formatCode="_-* #\ ##0_-;\-* #\ ##0_-;_-* &quot;-&quot;??_-;_-@_-">
                        <c:v>697729.64799698698</c:v>
                      </c:pt>
                      <c:pt idx="3" formatCode="_-* #\ ##0_-;\-* #\ ##0_-;_-* &quot;-&quot;??_-;_-@_-">
                        <c:v>647162.26668481238</c:v>
                      </c:pt>
                      <c:pt idx="4" formatCode="_-* #\ ##0_-;\-* #\ ##0_-;_-* &quot;-&quot;??_-;_-@_-">
                        <c:v>594256.01870481262</c:v>
                      </c:pt>
                      <c:pt idx="5" formatCode="_-* #\ ##0_-;\-* #\ ##0_-;_-* &quot;-&quot;??_-;_-@_-">
                        <c:v>538903</c:v>
                      </c:pt>
                      <c:pt idx="6" formatCode="_-* #\ ##0_-;\-* #\ ##0_-;_-* &quot;-&quot;??_-;_-@_-">
                        <c:v>480989</c:v>
                      </c:pt>
                      <c:pt idx="7" formatCode="_-* #\ ##0_-;\-* #\ ##0_-;_-* &quot;-&quot;??_-;_-@_-">
                        <c:v>420397</c:v>
                      </c:pt>
                      <c:pt idx="8" formatCode="_-* #\ ##0_-;\-* #\ ##0_-;_-* &quot;-&quot;??_-;_-@_-">
                        <c:v>357002</c:v>
                      </c:pt>
                      <c:pt idx="9" formatCode="_-* #\ ##0_-;\-* #\ ##0_-;_-* &quot;-&quot;??_-;_-@_-">
                        <c:v>290675</c:v>
                      </c:pt>
                      <c:pt idx="10" formatCode="_-* #\ ##0_-;\-* #\ ##0_-;_-* &quot;-&quot;??_-;_-@_-">
                        <c:v>221281</c:v>
                      </c:pt>
                      <c:pt idx="11" formatCode="_-* #\ ##0_-;\-* #\ ##0_-;_-* &quot;-&quot;??_-;_-@_-">
                        <c:v>148677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5CD-42E7-93FD-FC7DDCE2FAEE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Emprunts!$B$20:$D$20</c15:sqref>
                        </c15:formulaRef>
                      </c:ext>
                    </c:extLst>
                    <c:strCache>
                      <c:ptCount val="3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Emprunts!$E$20:$AR$20</c15:sqref>
                        </c15:fullRef>
                        <c15:formulaRef>
                          <c15:sqref>(Emprunts!$E$20:$F$20,Emprunts!$J$20:$T$20,Emprunts!$V$20,Emprunts!$X$20,Emprunts!$Z$20,Emprunts!$AB$20,Emprunts!$AD$20,Emprunts!$AF$20,Emprunts!$AH$20,Emprunts!$AJ$20,Emprunts!$AL$20,Emprunts!$AN$20,Emprunts!$AP$20,Emprunts!$AR$20)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394960.84692272329</c:v>
                      </c:pt>
                      <c:pt idx="1" formatCode="_-* #\ ##0_-;\-* #\ ##0_-;_-* &quot;-&quot;??_-;_-@_-">
                        <c:v>264879.17571638949</c:v>
                      </c:pt>
                      <c:pt idx="2" formatCode="_-* #\ ##0_-;\-* #\ ##0_-;_-* &quot;-&quot;??_-;_-@_-">
                        <c:v>133231.84151541631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5CD-42E7-93FD-FC7DDCE2FAEE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Emprunts!$B$21:$D$21</c15:sqref>
                        </c15:formulaRef>
                      </c:ext>
                    </c:extLst>
                    <c:strCache>
                      <c:ptCount val="3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Emprunts!$E$21:$AR$21</c15:sqref>
                        </c15:fullRef>
                        <c15:formulaRef>
                          <c15:sqref>(Emprunts!$E$21:$F$21,Emprunts!$J$21:$T$21,Emprunts!$V$21,Emprunts!$X$21,Emprunts!$Z$21,Emprunts!$AB$21,Emprunts!$AD$21,Emprunts!$AF$21,Emprunts!$AH$21,Emprunts!$AJ$21,Emprunts!$AL$21,Emprunts!$AN$21,Emprunts!$AP$21,Emprunts!$AR$21)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394960.84692272329</c:v>
                      </c:pt>
                      <c:pt idx="1" formatCode="_-* #\ ##0_-;\-* #\ ##0_-;_-* &quot;-&quot;??_-;_-@_-">
                        <c:v>264879.17571638949</c:v>
                      </c:pt>
                      <c:pt idx="2" formatCode="_-* #\ ##0_-;\-* #\ ##0_-;_-* &quot;-&quot;??_-;_-@_-">
                        <c:v>133231.84151541631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5CD-42E7-93FD-FC7DDCE2FAEE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Emprunts!$B$22:$D$22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Emprunts!$E$22:$AR$22</c15:sqref>
                        </c15:fullRef>
                        <c15:formulaRef>
                          <c15:sqref>(Emprunts!$E$22:$F$22,Emprunts!$J$22:$T$22,Emprunts!$V$22,Emprunts!$X$22,Emprunts!$Z$22,Emprunts!$AB$22,Emprunts!$AD$22,Emprunts!$AF$22,Emprunts!$AH$22,Emprunts!$AJ$22,Emprunts!$AL$22,Emprunts!$AN$22,Emprunts!$AP$22,Emprunts!$AR$22)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113285.78592867678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5CD-42E7-93FD-FC7DDCE2FAEE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Emprunts!$B$23:$D$23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Emprunts!$E$23:$AR$23</c15:sqref>
                        </c15:fullRef>
                        <c15:formulaRef>
                          <c15:sqref>(Emprunts!$E$23:$F$23,Emprunts!$J$23:$T$23,Emprunts!$V$23,Emprunts!$X$23,Emprunts!$Z$23,Emprunts!$AB$23,Emprunts!$AD$23,Emprunts!$AF$23,Emprunts!$AH$23,Emprunts!$AJ$23,Emprunts!$AL$23,Emprunts!$AN$23,Emprunts!$AP$23,Emprunts!$AR$23)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113285.78592867678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5CD-42E7-93FD-FC7DDCE2FAEE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Emprunts!$B$24:$D$24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Emprunts!$E$24:$AR$24</c15:sqref>
                        </c15:fullRef>
                        <c15:formulaRef>
                          <c15:sqref>(Emprunts!$E$24:$F$24,Emprunts!$J$24:$T$24,Emprunts!$V$24,Emprunts!$X$24,Emprunts!$Z$24,Emprunts!$AB$24,Emprunts!$AD$24,Emprunts!$AF$24,Emprunts!$AH$24,Emprunts!$AJ$24,Emprunts!$AL$24,Emprunts!$AN$24,Emprunts!$AP$24,Emprunts!$AR$24)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2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5CD-42E7-93FD-FC7DDCE2FAEE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134</xdr:row>
      <xdr:rowOff>0</xdr:rowOff>
    </xdr:from>
    <xdr:to>
      <xdr:col>6</xdr:col>
      <xdr:colOff>468312</xdr:colOff>
      <xdr:row>156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E9703E-736A-406D-9CE7-CCF8AEE8F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134</xdr:row>
      <xdr:rowOff>0</xdr:rowOff>
    </xdr:from>
    <xdr:to>
      <xdr:col>6</xdr:col>
      <xdr:colOff>468312</xdr:colOff>
      <xdr:row>156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D73C175-BFE8-4E05-A397-F2F7F04A9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134</xdr:row>
      <xdr:rowOff>0</xdr:rowOff>
    </xdr:from>
    <xdr:to>
      <xdr:col>6</xdr:col>
      <xdr:colOff>468312</xdr:colOff>
      <xdr:row>156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30958BF-652B-4251-B051-288DAB950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133</xdr:row>
      <xdr:rowOff>0</xdr:rowOff>
    </xdr:from>
    <xdr:to>
      <xdr:col>6</xdr:col>
      <xdr:colOff>468312</xdr:colOff>
      <xdr:row>155</xdr:row>
      <xdr:rowOff>180975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162289A-4F8E-49FF-B205-3C94254E8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133</xdr:row>
      <xdr:rowOff>0</xdr:rowOff>
    </xdr:from>
    <xdr:to>
      <xdr:col>6</xdr:col>
      <xdr:colOff>468312</xdr:colOff>
      <xdr:row>155</xdr:row>
      <xdr:rowOff>180975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B96A439-EDEE-4E41-9F46-C22836972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133</xdr:row>
      <xdr:rowOff>0</xdr:rowOff>
    </xdr:from>
    <xdr:to>
      <xdr:col>6</xdr:col>
      <xdr:colOff>468312</xdr:colOff>
      <xdr:row>155</xdr:row>
      <xdr:rowOff>180975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923B627-B785-4AE7-AAF5-6693BDE09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134</xdr:row>
      <xdr:rowOff>0</xdr:rowOff>
    </xdr:from>
    <xdr:to>
      <xdr:col>6</xdr:col>
      <xdr:colOff>468312</xdr:colOff>
      <xdr:row>156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2900D7-D38A-4F78-B210-B82077794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UNO BORDESSOUL" id="{DE0D1D09-A8AB-49FE-B92A-558F79079DF0}" userId="S::EDB.BORDESSOUL@GEODE37.onmicrosoft.com::75054ac7-ce0c-4f4a-b9ce-f89bf70be551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5-07-08T08:54:51.56" personId="{DE0D1D09-A8AB-49FE-B92A-558F79079DF0}" id="{04910DC1-3831-4E56-9BBB-8C4487B6DBD7}">
    <text>3 PARCELLES</text>
  </threadedComment>
  <threadedComment ref="Z4" dT="2025-07-31T08:40:55.13" personId="{DE0D1D09-A8AB-49FE-B92A-558F79079DF0}" id="{3E8D2C57-A956-4BD2-B8AF-FCA4D40C2122}">
    <text>CE 1924k€ et SG 350k€</text>
  </threadedComment>
  <threadedComment ref="AE4" dT="2025-07-31T08:40:55.13" personId="{DE0D1D09-A8AB-49FE-B92A-558F79079DF0}" id="{E3CC8EF2-A28F-4787-990E-46B410E8F0EB}">
    <text>CE 1924k€ et SG 350k€</text>
  </threadedComment>
  <threadedComment ref="W5" dT="2025-07-29T07:05:41.93" personId="{DE0D1D09-A8AB-49FE-B92A-558F79079DF0}" id="{B2623F9D-CF8F-4A5E-8691-49E98ABF611B}">
    <text>Selon le diag mais plan = 162m² et 158.3m² utile</text>
  </threadedComment>
  <threadedComment ref="AI10" dT="2025-07-15T07:14:10.19" personId="{DE0D1D09-A8AB-49FE-B92A-558F79079DF0}" id="{DF7E108F-B56F-4F6C-925D-2017CBE02A2B}">
    <text>Taux variable Euribor 3 mois capé avec SWAP</text>
  </threadedComment>
  <threadedComment ref="AI11" dT="2025-07-31T07:18:07.80" personId="{DE0D1D09-A8AB-49FE-B92A-558F79079DF0}" id="{E7C08983-B3E6-40E2-884F-676FEE24C761}">
    <text>Euribor 1 mois capé</text>
  </threadedComment>
  <threadedComment ref="AI11" dT="2025-07-31T07:18:31.66" personId="{DE0D1D09-A8AB-49FE-B92A-558F79079DF0}" id="{822E12F8-7681-4E08-BF40-C542BAA35C0C}" parentId="{E7C08983-B3E6-40E2-884F-676FEE24C761}">
    <text>Majoré de 0.73%</text>
  </threadedComment>
  <threadedComment ref="S12" dT="2025-07-31T09:46:00.85" personId="{DE0D1D09-A8AB-49FE-B92A-558F79079DF0}" id="{9BEE9373-B50A-4CCA-B8F4-38A1DA3FDE00}">
    <text>Depuis 1er janvier 2024 réajustement à la baisse du loyer</text>
  </threadedComment>
  <threadedComment ref="W13" dT="2025-07-31T09:49:33.57" personId="{DE0D1D09-A8AB-49FE-B92A-558F79079DF0}" id="{638E765C-96F7-4A11-A053-5E68B1AE1A9D}">
    <text>+145m² de jardin</text>
  </threadedComment>
  <threadedComment ref="W14" dT="2025-08-01T06:52:15.08" personId="{DE0D1D09-A8AB-49FE-B92A-558F79079DF0}" id="{76617B59-463B-4824-907B-5E217EB1B5D1}">
    <text>Plus 73m² de jardin</text>
  </threadedComment>
  <threadedComment ref="W15" dT="2025-08-01T07:20:35.24" personId="{DE0D1D09-A8AB-49FE-B92A-558F79079DF0}" id="{F03A6FC8-CB2E-42A1-BDCD-AC8823348A1D}">
    <text>Jardin 86.1m²</text>
  </threadedComment>
  <threadedComment ref="AD16" dT="2025-08-01T07:36:19.46" personId="{DE0D1D09-A8AB-49FE-B92A-558F79079DF0}" id="{5B176454-25A2-42A8-B79B-10AC8DC34B5F}">
    <text>Pas ok avec tableau REMY</text>
  </threadedComment>
  <threadedComment ref="W17" dT="2025-08-01T08:31:02.09" personId="{DE0D1D09-A8AB-49FE-B92A-558F79079DF0}" id="{B3CAB888-0337-4F06-B08A-70161AB3713F}">
    <text>Jardin 77m²</text>
  </threadedComment>
  <threadedComment ref="W23" dT="2025-08-01T09:33:07.26" personId="{DE0D1D09-A8AB-49FE-B92A-558F79079DF0}" id="{DB412450-0A72-403D-B8C2-B5AF6DB06EE6}">
    <text>Plus 144m²de terrasse et 170m² de jardin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5-07-31T08:40:55.13" personId="{DE0D1D09-A8AB-49FE-B92A-558F79079DF0}" id="{97E60078-F565-4234-AE3D-8EA4401A25D8}">
    <text>CE 1924k€ et SG 350k€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9FB8-468E-42C8-9283-EEE3AFF5CEB9}">
  <dimension ref="A2:AT28"/>
  <sheetViews>
    <sheetView zoomScale="90" zoomScaleNormal="90" workbookViewId="0">
      <pane xSplit="7" ySplit="3" topLeftCell="Q4" activePane="bottomRight" state="frozen"/>
      <selection pane="topRight" activeCell="G1" sqref="G1"/>
      <selection pane="bottomLeft" activeCell="A4" sqref="A4"/>
      <selection pane="bottomRight" activeCell="Z14" sqref="Z14:Z15"/>
    </sheetView>
  </sheetViews>
  <sheetFormatPr baseColWidth="10" defaultRowHeight="15" x14ac:dyDescent="0.25"/>
  <cols>
    <col min="1" max="1" width="22.140625" customWidth="1"/>
    <col min="2" max="3" width="18.7109375" customWidth="1"/>
    <col min="4" max="4" width="20.7109375" customWidth="1"/>
    <col min="5" max="5" width="24.7109375" customWidth="1"/>
    <col min="12" max="12" width="13.42578125" style="8" bestFit="1" customWidth="1"/>
    <col min="13" max="13" width="13.42578125" style="8" customWidth="1"/>
    <col min="14" max="14" width="28.5703125" style="8" customWidth="1"/>
    <col min="15" max="15" width="13.42578125" customWidth="1"/>
    <col min="16" max="16" width="16.28515625" customWidth="1"/>
    <col min="17" max="18" width="13.42578125" customWidth="1"/>
    <col min="19" max="20" width="15" style="20" customWidth="1"/>
    <col min="21" max="21" width="19" style="20" customWidth="1"/>
    <col min="22" max="22" width="15" style="20" customWidth="1"/>
    <col min="24" max="24" width="15" bestFit="1" customWidth="1"/>
    <col min="25" max="25" width="15.7109375" customWidth="1"/>
    <col min="26" max="28" width="13.7109375" style="8" customWidth="1"/>
    <col min="29" max="29" width="13.7109375" customWidth="1"/>
    <col min="30" max="32" width="18.28515625" style="8" customWidth="1"/>
    <col min="33" max="34" width="13.7109375" style="16" customWidth="1"/>
    <col min="35" max="35" width="22.28515625" style="18" customWidth="1"/>
    <col min="36" max="38" width="13.7109375" customWidth="1"/>
    <col min="43" max="44" width="13.140625" customWidth="1"/>
    <col min="45" max="45" width="15.42578125" customWidth="1"/>
  </cols>
  <sheetData>
    <row r="2" spans="1:45" x14ac:dyDescent="0.25">
      <c r="O2" s="4"/>
      <c r="P2" s="197" t="s">
        <v>0</v>
      </c>
      <c r="Q2" s="197"/>
      <c r="R2" s="197"/>
      <c r="S2" s="197"/>
      <c r="T2" s="197"/>
      <c r="U2" s="197"/>
      <c r="V2" s="197"/>
      <c r="W2" s="1"/>
      <c r="X2" s="198" t="s">
        <v>1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9" t="s">
        <v>2</v>
      </c>
      <c r="AN2" s="199"/>
      <c r="AO2" s="199"/>
      <c r="AP2" s="199"/>
      <c r="AQ2" s="200" t="s">
        <v>3</v>
      </c>
      <c r="AR2" s="200"/>
      <c r="AS2" s="6" t="s">
        <v>22</v>
      </c>
    </row>
    <row r="3" spans="1:45" ht="45.75" customHeight="1" thickBot="1" x14ac:dyDescent="0.3">
      <c r="A3" t="s">
        <v>28</v>
      </c>
      <c r="B3" t="s">
        <v>4</v>
      </c>
      <c r="C3" t="s">
        <v>49</v>
      </c>
      <c r="D3" t="s">
        <v>5</v>
      </c>
      <c r="E3" t="s">
        <v>6</v>
      </c>
      <c r="F3" t="s">
        <v>7</v>
      </c>
      <c r="G3" t="s">
        <v>8</v>
      </c>
      <c r="H3" s="7" t="s">
        <v>41</v>
      </c>
      <c r="I3" s="7" t="s">
        <v>64</v>
      </c>
      <c r="J3" s="7" t="s">
        <v>67</v>
      </c>
      <c r="K3" s="7" t="s">
        <v>65</v>
      </c>
      <c r="L3" s="9" t="s">
        <v>42</v>
      </c>
      <c r="M3" s="9" t="s">
        <v>44</v>
      </c>
      <c r="N3" s="9" t="s">
        <v>62</v>
      </c>
      <c r="O3" s="21" t="s">
        <v>27</v>
      </c>
      <c r="P3" s="22" t="s">
        <v>9</v>
      </c>
      <c r="Q3" s="22" t="s">
        <v>10</v>
      </c>
      <c r="R3" s="22" t="s">
        <v>11</v>
      </c>
      <c r="S3" s="23" t="s">
        <v>79</v>
      </c>
      <c r="T3" s="24" t="s">
        <v>76</v>
      </c>
      <c r="U3" s="23" t="s">
        <v>80</v>
      </c>
      <c r="V3" s="23" t="s">
        <v>96</v>
      </c>
      <c r="W3" s="25" t="s">
        <v>75</v>
      </c>
      <c r="X3" s="2" t="s">
        <v>12</v>
      </c>
      <c r="Y3" s="2" t="s">
        <v>13</v>
      </c>
      <c r="Z3" s="10" t="s">
        <v>98</v>
      </c>
      <c r="AA3" s="83" t="s">
        <v>140</v>
      </c>
      <c r="AB3" s="83" t="s">
        <v>141</v>
      </c>
      <c r="AC3" s="2" t="s">
        <v>14</v>
      </c>
      <c r="AD3" s="10" t="s">
        <v>97</v>
      </c>
      <c r="AE3" s="10" t="s">
        <v>142</v>
      </c>
      <c r="AF3" s="10" t="s">
        <v>143</v>
      </c>
      <c r="AG3" s="15" t="s">
        <v>47</v>
      </c>
      <c r="AH3" s="15" t="s">
        <v>48</v>
      </c>
      <c r="AI3" s="17" t="s">
        <v>24</v>
      </c>
      <c r="AJ3" s="2" t="s">
        <v>25</v>
      </c>
      <c r="AK3" s="2" t="s">
        <v>26</v>
      </c>
      <c r="AL3" s="2" t="s">
        <v>15</v>
      </c>
      <c r="AM3" s="12" t="s">
        <v>16</v>
      </c>
      <c r="AN3" s="12" t="s">
        <v>17</v>
      </c>
      <c r="AO3" s="12" t="s">
        <v>18</v>
      </c>
      <c r="AP3" s="12" t="s">
        <v>19</v>
      </c>
      <c r="AQ3" s="3" t="s">
        <v>20</v>
      </c>
      <c r="AR3" s="3" t="s">
        <v>21</v>
      </c>
      <c r="AS3" s="5" t="s">
        <v>23</v>
      </c>
    </row>
    <row r="4" spans="1:45" ht="16.899999999999999" customHeight="1" x14ac:dyDescent="0.25">
      <c r="A4" s="26" t="s">
        <v>35</v>
      </c>
      <c r="B4" s="27">
        <v>44558</v>
      </c>
      <c r="C4" s="28">
        <v>95170</v>
      </c>
      <c r="D4" s="28" t="s">
        <v>40</v>
      </c>
      <c r="E4" s="28" t="s">
        <v>35</v>
      </c>
      <c r="F4" s="28"/>
      <c r="G4" s="28" t="s">
        <v>45</v>
      </c>
      <c r="H4" s="28">
        <v>1265</v>
      </c>
      <c r="I4" s="28"/>
      <c r="J4" s="28"/>
      <c r="K4" s="28" t="s">
        <v>74</v>
      </c>
      <c r="L4" s="175">
        <v>380000</v>
      </c>
      <c r="M4" s="29" t="s">
        <v>43</v>
      </c>
      <c r="N4" s="29" t="s">
        <v>73</v>
      </c>
      <c r="O4" s="29" t="s">
        <v>68</v>
      </c>
      <c r="P4" s="29" t="s">
        <v>55</v>
      </c>
      <c r="Q4" s="27">
        <v>44562</v>
      </c>
      <c r="R4" s="27">
        <v>47848</v>
      </c>
      <c r="S4" s="30">
        <v>87000</v>
      </c>
      <c r="T4" s="30" t="s">
        <v>74</v>
      </c>
      <c r="U4" s="30" t="s">
        <v>82</v>
      </c>
      <c r="V4" s="30"/>
      <c r="W4" s="28">
        <v>395</v>
      </c>
      <c r="X4" s="31">
        <f t="shared" ref="X4:X9" si="0">$L$4*W4/SUM($W$4:$W$9)</f>
        <v>201964.47793326157</v>
      </c>
      <c r="Y4" s="31">
        <f t="shared" ref="Y4:Y9" si="1">33500/SUM($X$4:$X$9)*X4</f>
        <v>17804.763186221742</v>
      </c>
      <c r="Z4" s="192">
        <f>1924000+350000</f>
        <v>2274000</v>
      </c>
      <c r="AA4" s="192">
        <v>2390000</v>
      </c>
      <c r="AB4" s="192">
        <v>70000</v>
      </c>
      <c r="AC4" s="31">
        <f t="shared" ref="AC4:AC9" si="2">$Z$4/SUM($W$4:$W$9)*W4</f>
        <v>1208597.9547900967</v>
      </c>
      <c r="AD4" s="31">
        <f t="shared" ref="AD4:AD9" si="3">(305557+1175369+308929)/SUM($AC$4:$AC$9)*AC4</f>
        <v>951281.9227664154</v>
      </c>
      <c r="AE4" s="192" t="s">
        <v>146</v>
      </c>
      <c r="AF4" s="192" t="s">
        <v>319</v>
      </c>
      <c r="AG4" s="204" t="s">
        <v>99</v>
      </c>
      <c r="AH4" s="201">
        <v>49836</v>
      </c>
      <c r="AI4" s="207" t="s">
        <v>100</v>
      </c>
      <c r="AJ4" s="178" t="s">
        <v>94</v>
      </c>
      <c r="AK4" s="181" t="s">
        <v>279</v>
      </c>
      <c r="AL4" s="32"/>
      <c r="AM4" s="33">
        <v>1E-4</v>
      </c>
      <c r="AN4" s="33">
        <v>1E-4</v>
      </c>
      <c r="AO4" s="33">
        <v>0.49990000000000001</v>
      </c>
      <c r="AP4" s="33">
        <v>0.49990000000000001</v>
      </c>
      <c r="AQ4" s="34"/>
      <c r="AR4" s="34"/>
      <c r="AS4" s="35"/>
    </row>
    <row r="5" spans="1:45" ht="16.899999999999999" customHeight="1" x14ac:dyDescent="0.25">
      <c r="A5" s="36" t="s">
        <v>35</v>
      </c>
      <c r="B5" s="37">
        <v>44558</v>
      </c>
      <c r="C5">
        <v>95170</v>
      </c>
      <c r="D5" t="s">
        <v>40</v>
      </c>
      <c r="E5" t="s">
        <v>35</v>
      </c>
      <c r="G5" t="s">
        <v>46</v>
      </c>
      <c r="H5">
        <v>1265</v>
      </c>
      <c r="K5" t="s">
        <v>74</v>
      </c>
      <c r="L5" s="176"/>
      <c r="M5" s="8" t="s">
        <v>43</v>
      </c>
      <c r="N5" s="8" t="s">
        <v>73</v>
      </c>
      <c r="O5" s="8" t="s">
        <v>78</v>
      </c>
      <c r="P5" s="8" t="s">
        <v>77</v>
      </c>
      <c r="Q5" s="37">
        <v>45412</v>
      </c>
      <c r="R5" s="37">
        <v>48698</v>
      </c>
      <c r="S5" s="20">
        <v>30600</v>
      </c>
      <c r="T5" s="20" t="s">
        <v>74</v>
      </c>
      <c r="U5" s="20" t="s">
        <v>81</v>
      </c>
      <c r="V5" s="20">
        <f>S5/2162*2146</f>
        <v>30373.543015726176</v>
      </c>
      <c r="W5">
        <v>174</v>
      </c>
      <c r="X5" s="9">
        <f t="shared" si="0"/>
        <v>88966.630785791174</v>
      </c>
      <c r="Y5" s="9">
        <f t="shared" si="1"/>
        <v>7843.1108719052745</v>
      </c>
      <c r="Z5" s="193"/>
      <c r="AA5" s="193"/>
      <c r="AB5" s="193"/>
      <c r="AC5" s="9">
        <f t="shared" si="2"/>
        <v>532395.04843918188</v>
      </c>
      <c r="AD5" s="9">
        <f t="shared" si="3"/>
        <v>419045.70775026904</v>
      </c>
      <c r="AE5" s="193"/>
      <c r="AF5" s="193"/>
      <c r="AG5" s="205"/>
      <c r="AH5" s="202"/>
      <c r="AI5" s="208"/>
      <c r="AJ5" s="179"/>
      <c r="AK5" s="182"/>
      <c r="AL5" s="7"/>
      <c r="AM5" s="11">
        <v>1E-4</v>
      </c>
      <c r="AN5" s="11">
        <v>1E-4</v>
      </c>
      <c r="AO5" s="11">
        <v>0.49990000000000001</v>
      </c>
      <c r="AP5" s="11">
        <v>0.49990000000000001</v>
      </c>
      <c r="AQ5" s="38"/>
      <c r="AR5" s="38"/>
      <c r="AS5" s="39"/>
    </row>
    <row r="6" spans="1:45" ht="16.899999999999999" customHeight="1" x14ac:dyDescent="0.25">
      <c r="A6" s="36" t="s">
        <v>35</v>
      </c>
      <c r="B6" s="37">
        <v>44558</v>
      </c>
      <c r="C6">
        <v>95170</v>
      </c>
      <c r="D6" t="s">
        <v>40</v>
      </c>
      <c r="E6" t="s">
        <v>35</v>
      </c>
      <c r="G6" t="s">
        <v>87</v>
      </c>
      <c r="H6">
        <v>1265</v>
      </c>
      <c r="K6" t="s">
        <v>74</v>
      </c>
      <c r="L6" s="176"/>
      <c r="M6" s="8" t="s">
        <v>43</v>
      </c>
      <c r="N6" s="8" t="s">
        <v>73</v>
      </c>
      <c r="O6" s="8" t="s">
        <v>83</v>
      </c>
      <c r="P6" s="8" t="s">
        <v>84</v>
      </c>
      <c r="Q6" s="37">
        <v>45261</v>
      </c>
      <c r="R6" s="37">
        <v>47452</v>
      </c>
      <c r="S6" s="20">
        <f>895*12</f>
        <v>10740</v>
      </c>
      <c r="T6" s="20" t="s">
        <v>74</v>
      </c>
      <c r="U6" s="20" t="s">
        <v>85</v>
      </c>
      <c r="W6">
        <v>43.4</v>
      </c>
      <c r="X6" s="9">
        <f t="shared" si="0"/>
        <v>22190.527448869751</v>
      </c>
      <c r="Y6" s="9">
        <f t="shared" si="1"/>
        <v>1956.2701829924647</v>
      </c>
      <c r="Z6" s="193"/>
      <c r="AA6" s="193"/>
      <c r="AB6" s="193"/>
      <c r="AC6" s="9">
        <f t="shared" si="2"/>
        <v>132792.78794402583</v>
      </c>
      <c r="AD6" s="9">
        <f t="shared" si="3"/>
        <v>104520.59607104413</v>
      </c>
      <c r="AE6" s="193"/>
      <c r="AF6" s="193"/>
      <c r="AG6" s="205"/>
      <c r="AH6" s="202"/>
      <c r="AI6" s="208"/>
      <c r="AJ6" s="179"/>
      <c r="AK6" s="182"/>
      <c r="AL6" s="7"/>
      <c r="AM6" s="11">
        <v>1E-4</v>
      </c>
      <c r="AN6" s="11">
        <v>1E-4</v>
      </c>
      <c r="AO6" s="11">
        <v>0.49990000000000001</v>
      </c>
      <c r="AP6" s="11">
        <v>0.49990000000000001</v>
      </c>
      <c r="AQ6" s="38"/>
      <c r="AR6" s="38"/>
      <c r="AS6" s="39"/>
    </row>
    <row r="7" spans="1:45" ht="16.899999999999999" customHeight="1" x14ac:dyDescent="0.25">
      <c r="A7" s="36" t="s">
        <v>35</v>
      </c>
      <c r="B7" s="37">
        <v>44558</v>
      </c>
      <c r="C7">
        <v>95170</v>
      </c>
      <c r="D7" t="s">
        <v>40</v>
      </c>
      <c r="E7" t="s">
        <v>35</v>
      </c>
      <c r="G7" t="s">
        <v>88</v>
      </c>
      <c r="H7">
        <v>1265</v>
      </c>
      <c r="K7" t="s">
        <v>74</v>
      </c>
      <c r="L7" s="176"/>
      <c r="M7" s="8" t="s">
        <v>43</v>
      </c>
      <c r="N7" s="8" t="s">
        <v>73</v>
      </c>
      <c r="O7" s="8" t="s">
        <v>83</v>
      </c>
      <c r="P7" s="8" t="s">
        <v>86</v>
      </c>
      <c r="Q7" s="37">
        <v>45234</v>
      </c>
      <c r="R7" s="37">
        <v>47425</v>
      </c>
      <c r="S7" s="20">
        <f>590*12</f>
        <v>7080</v>
      </c>
      <c r="T7" s="20" t="s">
        <v>74</v>
      </c>
      <c r="U7" s="20" t="s">
        <v>85</v>
      </c>
      <c r="W7">
        <v>27.7</v>
      </c>
      <c r="X7" s="9">
        <f t="shared" si="0"/>
        <v>14163.078579117329</v>
      </c>
      <c r="Y7" s="9">
        <f t="shared" si="1"/>
        <v>1248.5871905274487</v>
      </c>
      <c r="Z7" s="193"/>
      <c r="AA7" s="193"/>
      <c r="AB7" s="193"/>
      <c r="AC7" s="9">
        <f t="shared" si="2"/>
        <v>84754.843918191589</v>
      </c>
      <c r="AD7" s="9">
        <f t="shared" si="3"/>
        <v>66710.150026910647</v>
      </c>
      <c r="AE7" s="193"/>
      <c r="AF7" s="193"/>
      <c r="AG7" s="205"/>
      <c r="AH7" s="202"/>
      <c r="AI7" s="208"/>
      <c r="AJ7" s="179"/>
      <c r="AK7" s="182"/>
      <c r="AL7" s="7"/>
      <c r="AM7" s="11">
        <v>1E-4</v>
      </c>
      <c r="AN7" s="11">
        <v>1E-4</v>
      </c>
      <c r="AO7" s="11">
        <v>0.49990000000000001</v>
      </c>
      <c r="AP7" s="11">
        <v>0.49990000000000001</v>
      </c>
      <c r="AQ7" s="38"/>
      <c r="AR7" s="38"/>
      <c r="AS7" s="39"/>
    </row>
    <row r="8" spans="1:45" ht="16.899999999999999" customHeight="1" x14ac:dyDescent="0.25">
      <c r="A8" s="36" t="s">
        <v>35</v>
      </c>
      <c r="B8" s="37">
        <v>44558</v>
      </c>
      <c r="C8">
        <v>95170</v>
      </c>
      <c r="D8" t="s">
        <v>40</v>
      </c>
      <c r="E8" t="s">
        <v>35</v>
      </c>
      <c r="G8" t="s">
        <v>89</v>
      </c>
      <c r="H8">
        <v>1265</v>
      </c>
      <c r="K8" t="s">
        <v>74</v>
      </c>
      <c r="L8" s="176"/>
      <c r="M8" s="8" t="s">
        <v>43</v>
      </c>
      <c r="N8" s="8" t="s">
        <v>73</v>
      </c>
      <c r="O8" s="8" t="s">
        <v>83</v>
      </c>
      <c r="P8" s="8" t="s">
        <v>91</v>
      </c>
      <c r="Q8" s="37">
        <v>45428</v>
      </c>
      <c r="R8" s="37">
        <v>47618</v>
      </c>
      <c r="S8" s="20">
        <f>870*12</f>
        <v>10440</v>
      </c>
      <c r="T8" s="20" t="s">
        <v>74</v>
      </c>
      <c r="U8" s="20" t="s">
        <v>90</v>
      </c>
      <c r="W8">
        <v>45.4</v>
      </c>
      <c r="X8" s="9">
        <f t="shared" si="0"/>
        <v>23213.132400430568</v>
      </c>
      <c r="Y8" s="9">
        <f t="shared" si="1"/>
        <v>2046.4208826695369</v>
      </c>
      <c r="Z8" s="193"/>
      <c r="AA8" s="193"/>
      <c r="AB8" s="193"/>
      <c r="AC8" s="9">
        <f t="shared" si="2"/>
        <v>138912.27125941872</v>
      </c>
      <c r="AD8" s="9">
        <f t="shared" si="3"/>
        <v>109337.21340150699</v>
      </c>
      <c r="AE8" s="193"/>
      <c r="AF8" s="193"/>
      <c r="AG8" s="205"/>
      <c r="AH8" s="202"/>
      <c r="AI8" s="208"/>
      <c r="AJ8" s="179"/>
      <c r="AK8" s="182"/>
      <c r="AL8" s="7"/>
      <c r="AM8" s="11">
        <v>1E-4</v>
      </c>
      <c r="AN8" s="11">
        <v>1E-4</v>
      </c>
      <c r="AO8" s="11">
        <v>0.49990000000000001</v>
      </c>
      <c r="AP8" s="11">
        <v>0.49990000000000001</v>
      </c>
      <c r="AQ8" s="38"/>
      <c r="AR8" s="38"/>
      <c r="AS8" s="39"/>
    </row>
    <row r="9" spans="1:45" ht="16.899999999999999" customHeight="1" thickBot="1" x14ac:dyDescent="0.3">
      <c r="A9" s="40" t="s">
        <v>35</v>
      </c>
      <c r="B9" s="41">
        <v>44558</v>
      </c>
      <c r="C9" s="42">
        <v>95170</v>
      </c>
      <c r="D9" s="42" t="s">
        <v>40</v>
      </c>
      <c r="E9" s="42" t="s">
        <v>35</v>
      </c>
      <c r="F9" s="42"/>
      <c r="G9" s="42" t="s">
        <v>93</v>
      </c>
      <c r="H9" s="42">
        <v>1265</v>
      </c>
      <c r="I9" s="42"/>
      <c r="J9" s="42"/>
      <c r="K9" s="42" t="s">
        <v>74</v>
      </c>
      <c r="L9" s="177"/>
      <c r="M9" s="43" t="s">
        <v>43</v>
      </c>
      <c r="N9" s="43" t="s">
        <v>73</v>
      </c>
      <c r="O9" s="43" t="s">
        <v>83</v>
      </c>
      <c r="P9" s="43" t="s">
        <v>92</v>
      </c>
      <c r="Q9" s="41">
        <v>45444</v>
      </c>
      <c r="R9" s="41">
        <v>47634</v>
      </c>
      <c r="S9" s="44">
        <f>1065*12</f>
        <v>12780</v>
      </c>
      <c r="T9" s="44" t="s">
        <v>74</v>
      </c>
      <c r="U9" s="44" t="s">
        <v>90</v>
      </c>
      <c r="V9" s="44"/>
      <c r="W9" s="42">
        <v>57.7</v>
      </c>
      <c r="X9" s="45">
        <f t="shared" si="0"/>
        <v>29502.152852529602</v>
      </c>
      <c r="Y9" s="45">
        <f t="shared" si="1"/>
        <v>2600.8476856835305</v>
      </c>
      <c r="Z9" s="194"/>
      <c r="AA9" s="194"/>
      <c r="AB9" s="194"/>
      <c r="AC9" s="45">
        <f t="shared" si="2"/>
        <v>176547.09364908503</v>
      </c>
      <c r="AD9" s="45">
        <f t="shared" si="3"/>
        <v>138959.40998385361</v>
      </c>
      <c r="AE9" s="194"/>
      <c r="AF9" s="194"/>
      <c r="AG9" s="206"/>
      <c r="AH9" s="203"/>
      <c r="AI9" s="209"/>
      <c r="AJ9" s="180"/>
      <c r="AK9" s="183"/>
      <c r="AL9" s="46"/>
      <c r="AM9" s="47">
        <v>1E-4</v>
      </c>
      <c r="AN9" s="47">
        <v>1E-4</v>
      </c>
      <c r="AO9" s="47">
        <v>0.49990000000000001</v>
      </c>
      <c r="AP9" s="47">
        <v>0.49990000000000001</v>
      </c>
      <c r="AQ9" s="48"/>
      <c r="AR9" s="48"/>
      <c r="AS9" s="49"/>
    </row>
    <row r="10" spans="1:45" x14ac:dyDescent="0.25">
      <c r="A10" s="26" t="s">
        <v>31</v>
      </c>
      <c r="B10" s="27">
        <v>42965</v>
      </c>
      <c r="C10" s="28">
        <v>93160</v>
      </c>
      <c r="D10" s="28" t="s">
        <v>58</v>
      </c>
      <c r="E10" s="28" t="s">
        <v>57</v>
      </c>
      <c r="F10" s="28"/>
      <c r="G10" s="28" t="s">
        <v>289</v>
      </c>
      <c r="H10" s="28">
        <f>5050+6587</f>
        <v>11637</v>
      </c>
      <c r="I10" s="28">
        <v>231.1</v>
      </c>
      <c r="J10" s="28" t="s">
        <v>69</v>
      </c>
      <c r="K10" s="28" t="s">
        <v>66</v>
      </c>
      <c r="L10" s="29">
        <v>250000</v>
      </c>
      <c r="M10" s="29" t="s">
        <v>70</v>
      </c>
      <c r="N10" s="29" t="s">
        <v>71</v>
      </c>
      <c r="O10" s="29" t="s">
        <v>68</v>
      </c>
      <c r="P10" s="29" t="s">
        <v>53</v>
      </c>
      <c r="Q10" s="27">
        <v>43191</v>
      </c>
      <c r="R10" s="27">
        <v>46843</v>
      </c>
      <c r="S10" s="30">
        <v>31284</v>
      </c>
      <c r="T10" s="30" t="s">
        <v>74</v>
      </c>
      <c r="U10" s="30" t="s">
        <v>116</v>
      </c>
      <c r="V10" s="30">
        <f>9720.79*4</f>
        <v>38883.160000000003</v>
      </c>
      <c r="W10" s="28">
        <v>231.1</v>
      </c>
      <c r="X10" s="29">
        <v>250000</v>
      </c>
      <c r="Y10" s="29">
        <f>3893.7+16283</f>
        <v>20176.7</v>
      </c>
      <c r="Z10" s="29">
        <v>250000</v>
      </c>
      <c r="AA10" s="29"/>
      <c r="AB10" s="29"/>
      <c r="AC10" s="29">
        <f>Z10</f>
        <v>250000</v>
      </c>
      <c r="AD10" s="29">
        <v>5217</v>
      </c>
      <c r="AE10" s="79" t="s">
        <v>147</v>
      </c>
      <c r="AF10" s="29" t="s">
        <v>144</v>
      </c>
      <c r="AG10" s="50">
        <v>8</v>
      </c>
      <c r="AH10" s="51">
        <v>46071</v>
      </c>
      <c r="AI10" s="52">
        <v>1.34E-2</v>
      </c>
      <c r="AJ10" s="53" t="s">
        <v>94</v>
      </c>
      <c r="AK10" s="54">
        <v>5.0000000000000001E-3</v>
      </c>
      <c r="AL10" s="28"/>
      <c r="AM10" s="55">
        <v>0.5</v>
      </c>
      <c r="AN10" s="55">
        <v>0.5</v>
      </c>
      <c r="AO10" s="56">
        <v>0</v>
      </c>
      <c r="AP10" s="56">
        <v>0</v>
      </c>
      <c r="AQ10" s="28"/>
      <c r="AR10" s="28"/>
      <c r="AS10" s="57" t="s">
        <v>33</v>
      </c>
    </row>
    <row r="11" spans="1:45" ht="60.75" thickBot="1" x14ac:dyDescent="0.3">
      <c r="A11" s="40" t="s">
        <v>31</v>
      </c>
      <c r="B11" s="41">
        <v>43284</v>
      </c>
      <c r="C11" s="42">
        <v>92330</v>
      </c>
      <c r="D11" s="42" t="s">
        <v>61</v>
      </c>
      <c r="E11" s="42" t="s">
        <v>60</v>
      </c>
      <c r="F11" s="42"/>
      <c r="G11" s="42" t="s">
        <v>290</v>
      </c>
      <c r="H11" s="42">
        <v>807</v>
      </c>
      <c r="I11" s="42">
        <v>192.6</v>
      </c>
      <c r="J11" s="42" t="s">
        <v>68</v>
      </c>
      <c r="K11" s="42" t="s">
        <v>66</v>
      </c>
      <c r="L11" s="43">
        <v>780000</v>
      </c>
      <c r="M11" s="43" t="s">
        <v>72</v>
      </c>
      <c r="N11" s="43" t="s">
        <v>63</v>
      </c>
      <c r="O11" s="43" t="s">
        <v>68</v>
      </c>
      <c r="P11" s="43" t="s">
        <v>54</v>
      </c>
      <c r="Q11" s="41">
        <v>43282</v>
      </c>
      <c r="R11" s="41">
        <v>46934</v>
      </c>
      <c r="S11" s="44">
        <v>62000</v>
      </c>
      <c r="T11" s="44" t="s">
        <v>74</v>
      </c>
      <c r="U11" s="44" t="s">
        <v>95</v>
      </c>
      <c r="V11" s="44">
        <f>17723.51*4</f>
        <v>70894.039999999994</v>
      </c>
      <c r="W11" s="42">
        <v>192</v>
      </c>
      <c r="X11" s="43">
        <v>780000</v>
      </c>
      <c r="Y11" s="43">
        <v>114430</v>
      </c>
      <c r="Z11" s="43">
        <v>780000</v>
      </c>
      <c r="AA11" s="43"/>
      <c r="AB11" s="43"/>
      <c r="AC11" s="43">
        <f>Z11</f>
        <v>780000</v>
      </c>
      <c r="AD11" s="43">
        <v>421889</v>
      </c>
      <c r="AE11" s="82" t="s">
        <v>151</v>
      </c>
      <c r="AF11" s="43" t="s">
        <v>280</v>
      </c>
      <c r="AG11" s="58">
        <f>180/12</f>
        <v>15</v>
      </c>
      <c r="AH11" s="59">
        <v>48763</v>
      </c>
      <c r="AI11" s="60">
        <v>1.89E-2</v>
      </c>
      <c r="AJ11" s="61" t="s">
        <v>94</v>
      </c>
      <c r="AK11" s="46" t="s">
        <v>281</v>
      </c>
      <c r="AL11" s="42"/>
      <c r="AM11" s="62">
        <v>0.5</v>
      </c>
      <c r="AN11" s="62">
        <v>0.5</v>
      </c>
      <c r="AO11" s="63">
        <v>0</v>
      </c>
      <c r="AP11" s="63">
        <v>0</v>
      </c>
      <c r="AQ11" s="42"/>
      <c r="AR11" s="42"/>
      <c r="AS11" s="64" t="s">
        <v>33</v>
      </c>
    </row>
    <row r="12" spans="1:45" x14ac:dyDescent="0.25">
      <c r="A12" s="26" t="s">
        <v>36</v>
      </c>
      <c r="B12" s="27">
        <v>44751</v>
      </c>
      <c r="C12" s="28">
        <v>78680</v>
      </c>
      <c r="D12" s="28" t="s">
        <v>104</v>
      </c>
      <c r="E12" s="28" t="s">
        <v>108</v>
      </c>
      <c r="F12" s="28"/>
      <c r="G12" s="28" t="s">
        <v>297</v>
      </c>
      <c r="H12" s="28"/>
      <c r="I12" s="28">
        <v>398.1</v>
      </c>
      <c r="J12" s="28"/>
      <c r="K12" s="28" t="s">
        <v>74</v>
      </c>
      <c r="L12" s="29">
        <v>352908</v>
      </c>
      <c r="M12" s="29" t="s">
        <v>102</v>
      </c>
      <c r="N12" s="29" t="s">
        <v>101</v>
      </c>
      <c r="O12" s="28" t="s">
        <v>68</v>
      </c>
      <c r="P12" s="28" t="s">
        <v>51</v>
      </c>
      <c r="Q12" s="27">
        <v>44927</v>
      </c>
      <c r="R12" s="27">
        <v>49340</v>
      </c>
      <c r="S12" s="30">
        <v>59090</v>
      </c>
      <c r="T12" s="30" t="s">
        <v>74</v>
      </c>
      <c r="U12" s="30" t="s">
        <v>82</v>
      </c>
      <c r="V12" s="30">
        <f>15220*4</f>
        <v>60880</v>
      </c>
      <c r="W12" s="28">
        <v>311</v>
      </c>
      <c r="X12" s="29">
        <f>L12</f>
        <v>352908</v>
      </c>
      <c r="Y12" s="29"/>
      <c r="Z12" s="29">
        <f>AC12</f>
        <v>377612</v>
      </c>
      <c r="AA12" s="29"/>
      <c r="AB12" s="29"/>
      <c r="AC12" s="29">
        <v>377612</v>
      </c>
      <c r="AD12" s="29">
        <v>309356</v>
      </c>
      <c r="AE12" s="79" t="s">
        <v>150</v>
      </c>
      <c r="AF12" s="29" t="s">
        <v>153</v>
      </c>
      <c r="AG12" s="50">
        <v>15</v>
      </c>
      <c r="AH12" s="51">
        <v>50228</v>
      </c>
      <c r="AI12" s="52">
        <v>1.7999999999999999E-2</v>
      </c>
      <c r="AJ12" s="65">
        <v>8.7000000000000001E-4</v>
      </c>
      <c r="AK12" s="28"/>
      <c r="AL12" s="28"/>
      <c r="AM12" s="33">
        <v>1E-4</v>
      </c>
      <c r="AN12" s="33">
        <v>1E-4</v>
      </c>
      <c r="AO12" s="33">
        <v>0.49990000000000001</v>
      </c>
      <c r="AP12" s="33">
        <v>0.49990000000000001</v>
      </c>
      <c r="AQ12" s="28"/>
      <c r="AR12" s="28"/>
      <c r="AS12" s="57"/>
    </row>
    <row r="13" spans="1:45" ht="15.75" thickBot="1" x14ac:dyDescent="0.3">
      <c r="A13" s="40" t="s">
        <v>36</v>
      </c>
      <c r="B13" s="41">
        <v>44749</v>
      </c>
      <c r="C13" s="66" t="s">
        <v>106</v>
      </c>
      <c r="D13" s="42" t="s">
        <v>105</v>
      </c>
      <c r="E13" s="42" t="s">
        <v>107</v>
      </c>
      <c r="F13" s="42"/>
      <c r="G13" s="42" t="s">
        <v>298</v>
      </c>
      <c r="H13" s="42"/>
      <c r="I13" s="42"/>
      <c r="J13" s="42"/>
      <c r="K13" s="42" t="s">
        <v>66</v>
      </c>
      <c r="L13" s="43">
        <v>665000</v>
      </c>
      <c r="M13" s="43"/>
      <c r="N13" s="43"/>
      <c r="O13" s="42" t="s">
        <v>68</v>
      </c>
      <c r="P13" s="42" t="s">
        <v>56</v>
      </c>
      <c r="Q13" s="41">
        <v>44927</v>
      </c>
      <c r="R13" s="41">
        <v>48244</v>
      </c>
      <c r="S13" s="44">
        <v>55000</v>
      </c>
      <c r="T13" s="44" t="s">
        <v>74</v>
      </c>
      <c r="U13" s="44" t="s">
        <v>82</v>
      </c>
      <c r="V13" s="44">
        <f>15012.39*4</f>
        <v>60049.56</v>
      </c>
      <c r="W13" s="42">
        <v>201</v>
      </c>
      <c r="X13" s="43">
        <f>L13</f>
        <v>665000</v>
      </c>
      <c r="Y13" s="43"/>
      <c r="Z13" s="43">
        <v>665000</v>
      </c>
      <c r="AA13" s="43"/>
      <c r="AB13" s="43"/>
      <c r="AC13" s="43">
        <f>Z13</f>
        <v>665000</v>
      </c>
      <c r="AD13" s="43">
        <v>553110</v>
      </c>
      <c r="AE13" s="82" t="s">
        <v>148</v>
      </c>
      <c r="AF13" s="43" t="s">
        <v>149</v>
      </c>
      <c r="AG13" s="58">
        <v>15</v>
      </c>
      <c r="AH13" s="59">
        <v>50469</v>
      </c>
      <c r="AI13" s="60">
        <v>1.4E-2</v>
      </c>
      <c r="AJ13" s="61" t="s">
        <v>94</v>
      </c>
      <c r="AK13" s="42" t="s">
        <v>103</v>
      </c>
      <c r="AL13" s="42"/>
      <c r="AM13" s="47">
        <v>1E-4</v>
      </c>
      <c r="AN13" s="47">
        <v>1E-4</v>
      </c>
      <c r="AO13" s="47">
        <v>0.49990000000000001</v>
      </c>
      <c r="AP13" s="47">
        <v>0.49990000000000001</v>
      </c>
      <c r="AQ13" s="42"/>
      <c r="AR13" s="42"/>
      <c r="AS13" s="64"/>
    </row>
    <row r="14" spans="1:45" x14ac:dyDescent="0.25">
      <c r="A14" s="26" t="s">
        <v>37</v>
      </c>
      <c r="B14" s="28" t="s">
        <v>111</v>
      </c>
      <c r="C14" s="28">
        <v>94430</v>
      </c>
      <c r="D14" s="28" t="s">
        <v>110</v>
      </c>
      <c r="E14" s="28" t="s">
        <v>138</v>
      </c>
      <c r="F14" s="28"/>
      <c r="G14" s="28" t="s">
        <v>303</v>
      </c>
      <c r="H14" s="28"/>
      <c r="I14" s="28">
        <v>206.34</v>
      </c>
      <c r="J14" s="28"/>
      <c r="K14" s="28"/>
      <c r="L14" s="29">
        <v>734000</v>
      </c>
      <c r="M14" s="29"/>
      <c r="N14" s="29"/>
      <c r="O14" s="28" t="s">
        <v>68</v>
      </c>
      <c r="P14" s="28" t="s">
        <v>52</v>
      </c>
      <c r="Q14" s="27">
        <v>45170</v>
      </c>
      <c r="R14" s="27">
        <v>48822</v>
      </c>
      <c r="S14" s="30">
        <v>75240</v>
      </c>
      <c r="T14" s="30" t="s">
        <v>74</v>
      </c>
      <c r="U14" s="30" t="s">
        <v>82</v>
      </c>
      <c r="V14" s="30">
        <f>19672.44*4</f>
        <v>78689.759999999995</v>
      </c>
      <c r="W14" s="28">
        <v>206</v>
      </c>
      <c r="X14" s="29"/>
      <c r="Y14" s="29"/>
      <c r="Z14" s="29">
        <v>734000</v>
      </c>
      <c r="AA14" s="29"/>
      <c r="AB14" s="29"/>
      <c r="AC14" s="29">
        <f>Z14</f>
        <v>734000</v>
      </c>
      <c r="AD14" s="29">
        <v>685859</v>
      </c>
      <c r="AE14" s="79" t="s">
        <v>150</v>
      </c>
      <c r="AF14" s="29" t="s">
        <v>153</v>
      </c>
      <c r="AG14" s="50">
        <v>15</v>
      </c>
      <c r="AH14" s="51">
        <v>50614</v>
      </c>
      <c r="AI14" s="52">
        <v>4.5999999999999999E-2</v>
      </c>
      <c r="AJ14" s="53" t="s">
        <v>94</v>
      </c>
      <c r="AK14" s="28" t="s">
        <v>109</v>
      </c>
      <c r="AL14" s="28"/>
      <c r="AM14" s="33">
        <v>1E-4</v>
      </c>
      <c r="AN14" s="33">
        <v>1E-4</v>
      </c>
      <c r="AO14" s="33">
        <v>0.49990000000000001</v>
      </c>
      <c r="AP14" s="33">
        <v>0.49990000000000001</v>
      </c>
      <c r="AQ14" s="28"/>
      <c r="AR14" s="28"/>
      <c r="AS14" s="57"/>
    </row>
    <row r="15" spans="1:45" ht="60.75" thickBot="1" x14ac:dyDescent="0.3">
      <c r="A15" s="40" t="s">
        <v>37</v>
      </c>
      <c r="B15" s="41">
        <v>45055</v>
      </c>
      <c r="C15" s="42">
        <v>94140</v>
      </c>
      <c r="D15" s="42" t="s">
        <v>112</v>
      </c>
      <c r="E15" s="42" t="s">
        <v>113</v>
      </c>
      <c r="F15" s="42"/>
      <c r="G15" s="42" t="s">
        <v>304</v>
      </c>
      <c r="H15" s="42"/>
      <c r="I15" s="42">
        <v>311.39999999999998</v>
      </c>
      <c r="J15" s="42"/>
      <c r="K15" s="42" t="s">
        <v>66</v>
      </c>
      <c r="L15" s="43">
        <v>840000</v>
      </c>
      <c r="M15" s="43" t="s">
        <v>139</v>
      </c>
      <c r="N15" s="43"/>
      <c r="O15" s="42" t="s">
        <v>68</v>
      </c>
      <c r="P15" s="42" t="s">
        <v>52</v>
      </c>
      <c r="Q15" s="41">
        <v>45292</v>
      </c>
      <c r="R15" s="41">
        <v>45291</v>
      </c>
      <c r="S15" s="44">
        <v>86100</v>
      </c>
      <c r="T15" s="44" t="s">
        <v>74</v>
      </c>
      <c r="U15" s="44" t="s">
        <v>82</v>
      </c>
      <c r="V15" s="44">
        <f>22177.22*4</f>
        <v>88708.88</v>
      </c>
      <c r="W15" s="42">
        <v>311.39999999999998</v>
      </c>
      <c r="X15" s="43">
        <f>L15</f>
        <v>840000</v>
      </c>
      <c r="Y15" s="43">
        <f>899210.68+6061.35-X15</f>
        <v>65272.030000000028</v>
      </c>
      <c r="Z15" s="43">
        <v>840000</v>
      </c>
      <c r="AA15" s="43"/>
      <c r="AB15" s="43"/>
      <c r="AC15" s="43">
        <f>Z15</f>
        <v>840000</v>
      </c>
      <c r="AD15" s="43">
        <v>792257</v>
      </c>
      <c r="AE15" s="82" t="s">
        <v>151</v>
      </c>
      <c r="AF15" s="43" t="s">
        <v>283</v>
      </c>
      <c r="AG15" s="58">
        <v>15</v>
      </c>
      <c r="AH15" s="59">
        <v>50724</v>
      </c>
      <c r="AI15" s="60">
        <v>4.53E-2</v>
      </c>
      <c r="AJ15" s="61" t="s">
        <v>94</v>
      </c>
      <c r="AK15" s="46" t="s">
        <v>282</v>
      </c>
      <c r="AL15" s="42"/>
      <c r="AM15" s="47">
        <v>1E-4</v>
      </c>
      <c r="AN15" s="47">
        <v>1E-4</v>
      </c>
      <c r="AO15" s="47">
        <v>0.49990000000000001</v>
      </c>
      <c r="AP15" s="47">
        <v>0.49990000000000001</v>
      </c>
      <c r="AQ15" s="42"/>
      <c r="AR15" s="42"/>
      <c r="AS15" s="64"/>
    </row>
    <row r="16" spans="1:45" ht="15.75" thickBot="1" x14ac:dyDescent="0.3">
      <c r="A16" s="67" t="s">
        <v>38</v>
      </c>
      <c r="B16" s="68">
        <v>44889</v>
      </c>
      <c r="C16" s="69">
        <v>95150</v>
      </c>
      <c r="D16" s="69" t="s">
        <v>38</v>
      </c>
      <c r="E16" s="69" t="s">
        <v>136</v>
      </c>
      <c r="F16" s="69"/>
      <c r="G16" s="69" t="s">
        <v>310</v>
      </c>
      <c r="H16" s="69"/>
      <c r="I16" s="69">
        <v>417.97</v>
      </c>
      <c r="J16" s="69"/>
      <c r="K16" s="69" t="s">
        <v>66</v>
      </c>
      <c r="L16" s="70">
        <v>1337730.6000000001</v>
      </c>
      <c r="M16" s="70" t="s">
        <v>114</v>
      </c>
      <c r="N16" s="70"/>
      <c r="O16" s="69"/>
      <c r="P16" s="164" t="s">
        <v>318</v>
      </c>
      <c r="Q16" s="165">
        <v>46266</v>
      </c>
      <c r="R16" s="164"/>
      <c r="S16" s="166">
        <v>67000</v>
      </c>
      <c r="T16" s="71"/>
      <c r="U16" s="71"/>
      <c r="V16" s="71"/>
      <c r="W16" s="69"/>
      <c r="X16" s="70">
        <f>L16</f>
        <v>1337730.6000000001</v>
      </c>
      <c r="Y16" s="70"/>
      <c r="Z16" s="70">
        <v>1408923</v>
      </c>
      <c r="AA16" s="70"/>
      <c r="AB16" s="70"/>
      <c r="AC16" s="70">
        <f>Z16</f>
        <v>1408923</v>
      </c>
      <c r="AD16" s="70">
        <v>1408923</v>
      </c>
      <c r="AE16" s="84" t="s">
        <v>145</v>
      </c>
      <c r="AF16" s="70" t="s">
        <v>321</v>
      </c>
      <c r="AG16" s="72">
        <v>20</v>
      </c>
      <c r="AH16" s="73">
        <v>53332</v>
      </c>
      <c r="AI16" s="74">
        <v>4.0399999999999998E-2</v>
      </c>
      <c r="AJ16" s="75">
        <v>3.2699999999999999E-3</v>
      </c>
      <c r="AK16" s="76" t="s">
        <v>94</v>
      </c>
      <c r="AL16" s="69"/>
      <c r="AM16" s="77">
        <v>1E-4</v>
      </c>
      <c r="AN16" s="77">
        <v>1E-4</v>
      </c>
      <c r="AO16" s="77">
        <v>0.49990000000000001</v>
      </c>
      <c r="AP16" s="77">
        <v>0.49990000000000001</v>
      </c>
      <c r="AQ16" s="69"/>
      <c r="AR16" s="69"/>
      <c r="AS16" s="78"/>
    </row>
    <row r="17" spans="1:46" x14ac:dyDescent="0.25">
      <c r="A17" s="26" t="s">
        <v>39</v>
      </c>
      <c r="B17" s="27">
        <v>45128</v>
      </c>
      <c r="C17" s="28">
        <v>78400</v>
      </c>
      <c r="D17" s="28" t="s">
        <v>115</v>
      </c>
      <c r="E17" s="28" t="s">
        <v>123</v>
      </c>
      <c r="F17" s="28"/>
      <c r="G17" s="28" t="s">
        <v>313</v>
      </c>
      <c r="H17" s="28"/>
      <c r="I17" s="173">
        <v>387.83</v>
      </c>
      <c r="J17" s="28"/>
      <c r="K17" s="28" t="s">
        <v>66</v>
      </c>
      <c r="L17" s="175">
        <v>1200000</v>
      </c>
      <c r="M17" s="29" t="s">
        <v>118</v>
      </c>
      <c r="N17" s="29" t="s">
        <v>117</v>
      </c>
      <c r="O17" s="28" t="s">
        <v>68</v>
      </c>
      <c r="P17" s="28" t="s">
        <v>50</v>
      </c>
      <c r="Q17" s="27">
        <v>45170</v>
      </c>
      <c r="R17" s="27">
        <v>48457</v>
      </c>
      <c r="S17" s="30">
        <v>84000</v>
      </c>
      <c r="T17" s="30" t="s">
        <v>74</v>
      </c>
      <c r="U17" s="30" t="s">
        <v>82</v>
      </c>
      <c r="V17" s="30">
        <f>21962.85*4</f>
        <v>87851.4</v>
      </c>
      <c r="W17" s="28">
        <v>258.7</v>
      </c>
      <c r="X17" s="29">
        <f t="shared" ref="X17:X22" si="4">$L$17/SUM($W$17:$W$22)*W17</f>
        <v>897744.36090225575</v>
      </c>
      <c r="Y17" s="29">
        <f t="shared" ref="Y17:Y22" si="5">108673/(SUM($X$17:$X$22))*X17</f>
        <v>81300.477443609023</v>
      </c>
      <c r="Z17" s="175">
        <v>1200000</v>
      </c>
      <c r="AA17" s="79"/>
      <c r="AB17" s="79"/>
      <c r="AC17" s="29">
        <f t="shared" ref="AC17:AC22" si="6">X17</f>
        <v>897744.36090225575</v>
      </c>
      <c r="AD17" s="29">
        <f t="shared" ref="AD17:AD22" si="7">1092668/SUM($AC$17:$AC$22)*AC17</f>
        <v>817447.11278195505</v>
      </c>
      <c r="AE17" s="175" t="s">
        <v>145</v>
      </c>
      <c r="AF17" s="195" t="s">
        <v>153</v>
      </c>
      <c r="AG17" s="184">
        <v>15.5</v>
      </c>
      <c r="AH17" s="186">
        <v>50795</v>
      </c>
      <c r="AI17" s="188">
        <v>5.0999999999999997E-2</v>
      </c>
      <c r="AJ17" s="178" t="s">
        <v>94</v>
      </c>
      <c r="AK17" s="190" t="s">
        <v>94</v>
      </c>
      <c r="AL17" s="28"/>
      <c r="AM17" s="33">
        <v>1E-4</v>
      </c>
      <c r="AN17" s="33">
        <v>1E-4</v>
      </c>
      <c r="AO17" s="33">
        <v>0.49990000000000001</v>
      </c>
      <c r="AP17" s="33">
        <v>0.49990000000000001</v>
      </c>
      <c r="AQ17" s="28"/>
      <c r="AR17" s="28"/>
      <c r="AS17" s="57"/>
    </row>
    <row r="18" spans="1:46" x14ac:dyDescent="0.25">
      <c r="A18" s="36" t="s">
        <v>39</v>
      </c>
      <c r="B18" s="37">
        <v>45128</v>
      </c>
      <c r="C18">
        <v>78400</v>
      </c>
      <c r="D18" t="s">
        <v>115</v>
      </c>
      <c r="E18" t="s">
        <v>129</v>
      </c>
      <c r="G18" t="s">
        <v>126</v>
      </c>
      <c r="I18" s="174"/>
      <c r="K18" t="s">
        <v>66</v>
      </c>
      <c r="L18" s="176"/>
      <c r="M18" s="8" t="s">
        <v>118</v>
      </c>
      <c r="O18" t="s">
        <v>125</v>
      </c>
      <c r="P18" t="s">
        <v>124</v>
      </c>
      <c r="Q18" s="37">
        <v>45717</v>
      </c>
      <c r="R18" s="37">
        <v>46812</v>
      </c>
      <c r="S18" s="20">
        <f>905.44*12</f>
        <v>10865.28</v>
      </c>
      <c r="T18" s="20" t="s">
        <v>74</v>
      </c>
      <c r="U18" s="20" t="s">
        <v>127</v>
      </c>
      <c r="V18" s="20">
        <f>S18</f>
        <v>10865.28</v>
      </c>
      <c r="W18">
        <v>15.2</v>
      </c>
      <c r="X18" s="8">
        <f t="shared" si="4"/>
        <v>52747.252747252751</v>
      </c>
      <c r="Y18" s="8">
        <f t="shared" si="5"/>
        <v>4776.8351648351645</v>
      </c>
      <c r="Z18" s="176"/>
      <c r="AA18" s="80"/>
      <c r="AB18" s="80"/>
      <c r="AC18" s="8">
        <f t="shared" si="6"/>
        <v>52747.252747252751</v>
      </c>
      <c r="AD18" s="8">
        <f t="shared" si="7"/>
        <v>48029.362637362639</v>
      </c>
      <c r="AE18" s="176"/>
      <c r="AF18" s="196"/>
      <c r="AG18" s="185"/>
      <c r="AH18" s="187"/>
      <c r="AI18" s="189"/>
      <c r="AJ18" s="179"/>
      <c r="AK18" s="191"/>
      <c r="AM18" s="11">
        <v>1E-4</v>
      </c>
      <c r="AN18" s="11">
        <v>1E-4</v>
      </c>
      <c r="AO18" s="11">
        <v>0.49990000000000001</v>
      </c>
      <c r="AP18" s="11">
        <v>0.49990000000000001</v>
      </c>
      <c r="AS18" s="81"/>
    </row>
    <row r="19" spans="1:46" x14ac:dyDescent="0.25">
      <c r="A19" s="36" t="s">
        <v>39</v>
      </c>
      <c r="B19" s="37">
        <v>45128</v>
      </c>
      <c r="C19">
        <v>78400</v>
      </c>
      <c r="D19" t="s">
        <v>115</v>
      </c>
      <c r="E19" t="s">
        <v>129</v>
      </c>
      <c r="G19" t="s">
        <v>135</v>
      </c>
      <c r="I19" s="174"/>
      <c r="K19" t="s">
        <v>66</v>
      </c>
      <c r="L19" s="176"/>
      <c r="M19" s="8" t="s">
        <v>118</v>
      </c>
      <c r="O19" t="s">
        <v>78</v>
      </c>
      <c r="P19" t="s">
        <v>137</v>
      </c>
      <c r="Q19" s="37">
        <v>45895</v>
      </c>
      <c r="R19" s="37">
        <v>48085</v>
      </c>
      <c r="S19" s="20">
        <v>3185</v>
      </c>
      <c r="T19" s="20" t="s">
        <v>74</v>
      </c>
      <c r="U19" s="20" t="s">
        <v>134</v>
      </c>
      <c r="V19" s="20">
        <f>S19</f>
        <v>3185</v>
      </c>
      <c r="W19">
        <v>11.15</v>
      </c>
      <c r="X19" s="8">
        <f t="shared" si="4"/>
        <v>38692.886061307123</v>
      </c>
      <c r="Y19" s="8">
        <f t="shared" si="5"/>
        <v>3504.0600057836905</v>
      </c>
      <c r="Z19" s="176"/>
      <c r="AA19" s="80"/>
      <c r="AB19" s="80"/>
      <c r="AC19" s="8">
        <f t="shared" si="6"/>
        <v>38692.886061307123</v>
      </c>
      <c r="AD19" s="8">
        <f t="shared" si="7"/>
        <v>35232.065355696941</v>
      </c>
      <c r="AE19" s="176"/>
      <c r="AF19" s="196"/>
      <c r="AG19" s="185"/>
      <c r="AH19" s="187"/>
      <c r="AI19" s="189"/>
      <c r="AJ19" s="179"/>
      <c r="AK19" s="191"/>
      <c r="AM19" s="11"/>
      <c r="AN19" s="11"/>
      <c r="AO19" s="11"/>
      <c r="AP19" s="11"/>
      <c r="AS19" s="81"/>
    </row>
    <row r="20" spans="1:46" x14ac:dyDescent="0.25">
      <c r="A20" s="36" t="s">
        <v>39</v>
      </c>
      <c r="B20" s="37">
        <v>45128</v>
      </c>
      <c r="C20">
        <v>78400</v>
      </c>
      <c r="D20" t="s">
        <v>115</v>
      </c>
      <c r="E20" t="s">
        <v>129</v>
      </c>
      <c r="G20" t="s">
        <v>135</v>
      </c>
      <c r="I20" s="174"/>
      <c r="K20" t="s">
        <v>66</v>
      </c>
      <c r="L20" s="176"/>
      <c r="M20" s="8" t="s">
        <v>118</v>
      </c>
      <c r="O20" t="s">
        <v>78</v>
      </c>
      <c r="P20" t="s">
        <v>128</v>
      </c>
      <c r="Q20" s="37">
        <v>45895</v>
      </c>
      <c r="R20" s="37">
        <v>48085</v>
      </c>
      <c r="S20" s="20">
        <v>11788.32</v>
      </c>
      <c r="T20" s="20" t="s">
        <v>74</v>
      </c>
      <c r="U20" s="20" t="s">
        <v>130</v>
      </c>
      <c r="V20" s="20">
        <f>S20</f>
        <v>11788.32</v>
      </c>
      <c r="W20">
        <v>16.5</v>
      </c>
      <c r="X20" s="8">
        <f t="shared" si="4"/>
        <v>57258.530942741476</v>
      </c>
      <c r="Y20" s="8">
        <f t="shared" si="5"/>
        <v>5185.3802776171196</v>
      </c>
      <c r="Z20" s="176"/>
      <c r="AA20" s="80"/>
      <c r="AB20" s="80"/>
      <c r="AC20" s="8">
        <f t="shared" si="6"/>
        <v>57258.530942741476</v>
      </c>
      <c r="AD20" s="8">
        <f t="shared" si="7"/>
        <v>52137.137073452868</v>
      </c>
      <c r="AE20" s="176"/>
      <c r="AF20" s="196"/>
      <c r="AG20" s="185"/>
      <c r="AH20" s="187"/>
      <c r="AI20" s="189"/>
      <c r="AJ20" s="179"/>
      <c r="AK20" s="191"/>
      <c r="AM20" s="11">
        <v>1E-4</v>
      </c>
      <c r="AN20" s="11">
        <v>1E-4</v>
      </c>
      <c r="AO20" s="11">
        <v>0.49990000000000001</v>
      </c>
      <c r="AP20" s="11">
        <v>0.49990000000000001</v>
      </c>
      <c r="AS20" s="81"/>
    </row>
    <row r="21" spans="1:46" x14ac:dyDescent="0.25">
      <c r="A21" s="36" t="s">
        <v>39</v>
      </c>
      <c r="B21" s="37">
        <v>45128</v>
      </c>
      <c r="C21">
        <v>78400</v>
      </c>
      <c r="D21" t="s">
        <v>115</v>
      </c>
      <c r="E21" t="s">
        <v>129</v>
      </c>
      <c r="G21" t="s">
        <v>126</v>
      </c>
      <c r="H21" t="s">
        <v>126</v>
      </c>
      <c r="I21" s="174"/>
      <c r="J21" t="s">
        <v>126</v>
      </c>
      <c r="K21" t="s">
        <v>126</v>
      </c>
      <c r="L21" s="176"/>
      <c r="M21" t="s">
        <v>118</v>
      </c>
      <c r="O21" t="s">
        <v>68</v>
      </c>
      <c r="P21" t="s">
        <v>131</v>
      </c>
      <c r="Q21" s="37">
        <v>42676</v>
      </c>
      <c r="R21" s="37">
        <f>Q21+365.25*9</f>
        <v>45963.25</v>
      </c>
      <c r="S21" s="20">
        <v>7084</v>
      </c>
      <c r="T21" s="20" t="s">
        <v>74</v>
      </c>
      <c r="U21" s="20" t="s">
        <v>132</v>
      </c>
      <c r="V21" s="20">
        <f>699.33*12</f>
        <v>8391.9600000000009</v>
      </c>
      <c r="W21">
        <v>33</v>
      </c>
      <c r="X21" s="8">
        <f t="shared" si="4"/>
        <v>114517.06188548295</v>
      </c>
      <c r="Y21" s="8">
        <f t="shared" si="5"/>
        <v>10370.760555234239</v>
      </c>
      <c r="Z21" s="176"/>
      <c r="AA21" s="80"/>
      <c r="AB21" s="80"/>
      <c r="AC21" s="8">
        <f t="shared" si="6"/>
        <v>114517.06188548295</v>
      </c>
      <c r="AD21" s="8">
        <f t="shared" si="7"/>
        <v>104274.27414690574</v>
      </c>
      <c r="AE21" s="176"/>
      <c r="AF21" s="196"/>
      <c r="AG21" s="185"/>
      <c r="AH21" s="187"/>
      <c r="AI21" s="189"/>
      <c r="AJ21" s="179"/>
      <c r="AK21" s="191"/>
      <c r="AM21" s="11">
        <v>1E-4</v>
      </c>
      <c r="AN21" s="11">
        <v>1E-4</v>
      </c>
      <c r="AO21" s="11">
        <v>0.49990000000000001</v>
      </c>
      <c r="AP21" s="11">
        <v>0.49990000000000001</v>
      </c>
      <c r="AS21" s="81"/>
    </row>
    <row r="22" spans="1:46" x14ac:dyDescent="0.25">
      <c r="A22" s="36" t="s">
        <v>39</v>
      </c>
      <c r="B22" s="37">
        <v>45128</v>
      </c>
      <c r="C22">
        <v>78400</v>
      </c>
      <c r="D22" t="s">
        <v>115</v>
      </c>
      <c r="E22" t="s">
        <v>129</v>
      </c>
      <c r="G22" t="s">
        <v>126</v>
      </c>
      <c r="H22" t="s">
        <v>126</v>
      </c>
      <c r="I22" s="174"/>
      <c r="J22" t="s">
        <v>126</v>
      </c>
      <c r="K22" t="s">
        <v>126</v>
      </c>
      <c r="L22" s="176"/>
      <c r="M22" t="s">
        <v>118</v>
      </c>
      <c r="O22" t="s">
        <v>78</v>
      </c>
      <c r="P22" t="s">
        <v>133</v>
      </c>
      <c r="Q22" s="37">
        <v>45792</v>
      </c>
      <c r="R22" s="37">
        <v>45791</v>
      </c>
      <c r="S22" s="20">
        <v>8040.24</v>
      </c>
      <c r="T22" s="20" t="s">
        <v>74</v>
      </c>
      <c r="U22" s="20" t="s">
        <v>134</v>
      </c>
      <c r="V22" s="20">
        <f>S22</f>
        <v>8040.24</v>
      </c>
      <c r="W22">
        <v>11.25</v>
      </c>
      <c r="X22" s="8">
        <f t="shared" si="4"/>
        <v>39039.907460960101</v>
      </c>
      <c r="Y22" s="8">
        <f t="shared" si="5"/>
        <v>3535.4865529207641</v>
      </c>
      <c r="Z22" s="176"/>
      <c r="AA22" s="80"/>
      <c r="AB22" s="80"/>
      <c r="AC22" s="8">
        <f t="shared" si="6"/>
        <v>39039.907460960101</v>
      </c>
      <c r="AD22" s="8">
        <f t="shared" si="7"/>
        <v>35548.048004626959</v>
      </c>
      <c r="AE22" s="176"/>
      <c r="AF22" s="196"/>
      <c r="AG22" s="185"/>
      <c r="AH22" s="187"/>
      <c r="AI22" s="189"/>
      <c r="AJ22" s="179"/>
      <c r="AK22" s="191"/>
      <c r="AM22" s="11">
        <v>1E-4</v>
      </c>
      <c r="AN22" s="11">
        <v>1E-4</v>
      </c>
      <c r="AO22" s="11">
        <v>0.49990000000000001</v>
      </c>
      <c r="AP22" s="11">
        <v>0.49990000000000001</v>
      </c>
      <c r="AS22" s="81"/>
    </row>
    <row r="23" spans="1:46" ht="15.75" thickBot="1" x14ac:dyDescent="0.3">
      <c r="A23" s="40" t="s">
        <v>39</v>
      </c>
      <c r="B23" s="41">
        <v>45205</v>
      </c>
      <c r="C23" s="42">
        <v>95130</v>
      </c>
      <c r="D23" s="42" t="s">
        <v>119</v>
      </c>
      <c r="E23" s="42" t="s">
        <v>120</v>
      </c>
      <c r="F23" s="42"/>
      <c r="G23" s="42" t="s">
        <v>314</v>
      </c>
      <c r="H23" s="42"/>
      <c r="I23" s="42"/>
      <c r="J23" s="42"/>
      <c r="K23" s="42"/>
      <c r="L23" s="43">
        <v>740000</v>
      </c>
      <c r="M23" s="43" t="s">
        <v>121</v>
      </c>
      <c r="N23" s="43"/>
      <c r="O23" s="42" t="s">
        <v>68</v>
      </c>
      <c r="P23" s="42" t="s">
        <v>122</v>
      </c>
      <c r="Q23" s="41">
        <v>45292</v>
      </c>
      <c r="R23" s="41">
        <v>48944</v>
      </c>
      <c r="S23" s="44">
        <v>80000</v>
      </c>
      <c r="T23" s="44" t="s">
        <v>74</v>
      </c>
      <c r="U23" s="44" t="s">
        <v>82</v>
      </c>
      <c r="V23" s="44">
        <f>20606.02*4</f>
        <v>82424.08</v>
      </c>
      <c r="W23" s="42">
        <v>396.34</v>
      </c>
      <c r="X23" s="43">
        <v>740000</v>
      </c>
      <c r="Y23" s="43">
        <v>65750</v>
      </c>
      <c r="Z23" s="43">
        <f>X23</f>
        <v>740000</v>
      </c>
      <c r="AA23" s="43"/>
      <c r="AB23" s="43"/>
      <c r="AC23" s="43">
        <f>Z23</f>
        <v>740000</v>
      </c>
      <c r="AD23" s="43">
        <v>686767</v>
      </c>
      <c r="AE23" s="82" t="s">
        <v>150</v>
      </c>
      <c r="AF23" s="43" t="s">
        <v>152</v>
      </c>
      <c r="AG23" s="58">
        <v>15</v>
      </c>
      <c r="AH23" s="59">
        <v>50684</v>
      </c>
      <c r="AI23" s="60">
        <v>0.46</v>
      </c>
      <c r="AJ23" s="61" t="s">
        <v>94</v>
      </c>
      <c r="AK23" s="42" t="s">
        <v>109</v>
      </c>
      <c r="AL23" s="42"/>
      <c r="AM23" s="47">
        <v>1E-4</v>
      </c>
      <c r="AN23" s="47">
        <v>1E-4</v>
      </c>
      <c r="AO23" s="47">
        <v>0.49990000000000001</v>
      </c>
      <c r="AP23" s="47">
        <v>0.49990000000000001</v>
      </c>
      <c r="AQ23" s="42"/>
      <c r="AR23" s="42"/>
      <c r="AS23" s="64"/>
    </row>
    <row r="24" spans="1:46" x14ac:dyDescent="0.25">
      <c r="X24" s="8"/>
      <c r="Y24" s="8"/>
    </row>
    <row r="25" spans="1:46" x14ac:dyDescent="0.25">
      <c r="X25" s="8"/>
      <c r="Y25" s="8"/>
    </row>
    <row r="26" spans="1:46" x14ac:dyDescent="0.25">
      <c r="A26" t="s">
        <v>29</v>
      </c>
      <c r="B26" t="s">
        <v>59</v>
      </c>
      <c r="X26" s="8"/>
      <c r="Y26" s="8"/>
      <c r="AM26" s="13">
        <v>1E-4</v>
      </c>
      <c r="AN26" s="13">
        <v>1E-4</v>
      </c>
      <c r="AO26" s="13">
        <v>0.49990000000000001</v>
      </c>
      <c r="AP26" s="13">
        <v>0.49990000000000001</v>
      </c>
    </row>
    <row r="27" spans="1:46" x14ac:dyDescent="0.25">
      <c r="A27" t="s">
        <v>30</v>
      </c>
      <c r="B27" t="s">
        <v>59</v>
      </c>
      <c r="X27" s="8"/>
      <c r="Y27" s="8"/>
      <c r="AM27" s="13">
        <v>1E-4</v>
      </c>
      <c r="AN27" s="13">
        <v>1E-4</v>
      </c>
      <c r="AO27" s="13">
        <v>0.49990000000000001</v>
      </c>
      <c r="AP27" s="13">
        <v>0.49990000000000001</v>
      </c>
    </row>
    <row r="28" spans="1:46" x14ac:dyDescent="0.25">
      <c r="A28" t="s">
        <v>32</v>
      </c>
      <c r="B28" t="s">
        <v>59</v>
      </c>
      <c r="X28" s="8"/>
      <c r="Y28" s="8"/>
      <c r="AC28" s="8"/>
      <c r="AM28" s="14">
        <v>0.5</v>
      </c>
      <c r="AN28" s="14">
        <v>0.5</v>
      </c>
      <c r="AO28" s="19">
        <v>0</v>
      </c>
      <c r="AP28" s="19">
        <v>0</v>
      </c>
      <c r="AS28" t="s">
        <v>33</v>
      </c>
      <c r="AT28" t="s">
        <v>34</v>
      </c>
    </row>
  </sheetData>
  <mergeCells count="25">
    <mergeCell ref="P2:V2"/>
    <mergeCell ref="X2:AL2"/>
    <mergeCell ref="AM2:AP2"/>
    <mergeCell ref="AQ2:AR2"/>
    <mergeCell ref="Z4:Z9"/>
    <mergeCell ref="AH4:AH9"/>
    <mergeCell ref="AG4:AG9"/>
    <mergeCell ref="AI4:AI9"/>
    <mergeCell ref="AA4:AA9"/>
    <mergeCell ref="AB4:AB9"/>
    <mergeCell ref="I17:I22"/>
    <mergeCell ref="L4:L9"/>
    <mergeCell ref="AJ4:AJ9"/>
    <mergeCell ref="AK4:AK9"/>
    <mergeCell ref="L17:L22"/>
    <mergeCell ref="Z17:Z22"/>
    <mergeCell ref="AG17:AG22"/>
    <mergeCell ref="AH17:AH22"/>
    <mergeCell ref="AI17:AI22"/>
    <mergeCell ref="AJ17:AJ22"/>
    <mergeCell ref="AK17:AK22"/>
    <mergeCell ref="AE4:AE9"/>
    <mergeCell ref="AF4:AF9"/>
    <mergeCell ref="AE17:AE22"/>
    <mergeCell ref="AF17:AF22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748C-9EFF-4517-AA81-241512B6E2DE}">
  <dimension ref="A2:C23"/>
  <sheetViews>
    <sheetView workbookViewId="0">
      <selection activeCell="C32" sqref="C32"/>
    </sheetView>
  </sheetViews>
  <sheetFormatPr baseColWidth="10" defaultRowHeight="15" x14ac:dyDescent="0.25"/>
  <cols>
    <col min="1" max="1" width="26" customWidth="1"/>
    <col min="2" max="2" width="18.28515625" style="8" customWidth="1"/>
    <col min="3" max="3" width="88.7109375" style="8" customWidth="1"/>
  </cols>
  <sheetData>
    <row r="2" spans="1:3" x14ac:dyDescent="0.25">
      <c r="B2"/>
      <c r="C2"/>
    </row>
    <row r="3" spans="1:3" ht="15.75" thickBot="1" x14ac:dyDescent="0.3">
      <c r="A3" s="16" t="s">
        <v>28</v>
      </c>
      <c r="B3" s="10" t="s">
        <v>142</v>
      </c>
      <c r="C3" s="10" t="s">
        <v>143</v>
      </c>
    </row>
    <row r="4" spans="1:3" ht="15" customHeight="1" x14ac:dyDescent="0.25">
      <c r="A4" s="213" t="s">
        <v>35</v>
      </c>
      <c r="B4" s="192" t="s">
        <v>146</v>
      </c>
      <c r="C4" s="210" t="s">
        <v>320</v>
      </c>
    </row>
    <row r="5" spans="1:3" x14ac:dyDescent="0.25">
      <c r="A5" s="214"/>
      <c r="B5" s="193"/>
      <c r="C5" s="211"/>
    </row>
    <row r="6" spans="1:3" x14ac:dyDescent="0.25">
      <c r="A6" s="214"/>
      <c r="B6" s="193"/>
      <c r="C6" s="211"/>
    </row>
    <row r="7" spans="1:3" ht="3" customHeight="1" thickBot="1" x14ac:dyDescent="0.3">
      <c r="A7" s="214"/>
      <c r="B7" s="193"/>
      <c r="C7" s="211"/>
    </row>
    <row r="8" spans="1:3" ht="15.75" hidden="1" customHeight="1" thickBot="1" x14ac:dyDescent="0.3">
      <c r="A8" s="214"/>
      <c r="B8" s="193"/>
      <c r="C8" s="211"/>
    </row>
    <row r="9" spans="1:3" ht="15.75" hidden="1" customHeight="1" thickBot="1" x14ac:dyDescent="0.3">
      <c r="A9" s="215"/>
      <c r="B9" s="194"/>
      <c r="C9" s="212"/>
    </row>
    <row r="10" spans="1:3" x14ac:dyDescent="0.25">
      <c r="A10" s="26" t="s">
        <v>31</v>
      </c>
      <c r="B10" s="79" t="s">
        <v>147</v>
      </c>
      <c r="C10" s="29" t="s">
        <v>144</v>
      </c>
    </row>
    <row r="11" spans="1:3" ht="15.75" thickBot="1" x14ac:dyDescent="0.3">
      <c r="A11" s="40" t="s">
        <v>31</v>
      </c>
      <c r="B11" s="82" t="s">
        <v>151</v>
      </c>
      <c r="C11" s="43" t="s">
        <v>280</v>
      </c>
    </row>
    <row r="12" spans="1:3" x14ac:dyDescent="0.25">
      <c r="A12" s="26" t="s">
        <v>36</v>
      </c>
      <c r="B12" s="79" t="s">
        <v>150</v>
      </c>
      <c r="C12" s="29" t="s">
        <v>153</v>
      </c>
    </row>
    <row r="13" spans="1:3" ht="15.75" thickBot="1" x14ac:dyDescent="0.3">
      <c r="A13" s="40" t="s">
        <v>36</v>
      </c>
      <c r="B13" s="82" t="s">
        <v>148</v>
      </c>
      <c r="C13" s="43" t="s">
        <v>149</v>
      </c>
    </row>
    <row r="14" spans="1:3" x14ac:dyDescent="0.25">
      <c r="A14" s="26" t="s">
        <v>37</v>
      </c>
      <c r="B14" s="79" t="s">
        <v>150</v>
      </c>
      <c r="C14" s="29" t="s">
        <v>153</v>
      </c>
    </row>
    <row r="15" spans="1:3" ht="15.75" thickBot="1" x14ac:dyDescent="0.3">
      <c r="A15" s="40" t="s">
        <v>37</v>
      </c>
      <c r="B15" s="82" t="s">
        <v>151</v>
      </c>
      <c r="C15" s="43" t="s">
        <v>283</v>
      </c>
    </row>
    <row r="16" spans="1:3" ht="15.75" thickBot="1" x14ac:dyDescent="0.3">
      <c r="A16" s="67" t="s">
        <v>38</v>
      </c>
      <c r="B16" s="84" t="s">
        <v>145</v>
      </c>
      <c r="C16" s="168" t="s">
        <v>321</v>
      </c>
    </row>
    <row r="17" spans="1:3" x14ac:dyDescent="0.25">
      <c r="A17" s="213" t="s">
        <v>39</v>
      </c>
      <c r="B17" s="175" t="s">
        <v>145</v>
      </c>
      <c r="C17" s="195" t="s">
        <v>153</v>
      </c>
    </row>
    <row r="18" spans="1:3" ht="14.25" customHeight="1" x14ac:dyDescent="0.25">
      <c r="A18" s="214"/>
      <c r="B18" s="176"/>
      <c r="C18" s="196"/>
    </row>
    <row r="19" spans="1:3" hidden="1" x14ac:dyDescent="0.25">
      <c r="A19" s="214"/>
      <c r="B19" s="176"/>
      <c r="C19" s="196"/>
    </row>
    <row r="20" spans="1:3" ht="7.5" hidden="1" customHeight="1" x14ac:dyDescent="0.25">
      <c r="A20" s="214"/>
      <c r="B20" s="176"/>
      <c r="C20" s="196"/>
    </row>
    <row r="21" spans="1:3" ht="15" hidden="1" customHeight="1" x14ac:dyDescent="0.25">
      <c r="A21" s="214"/>
      <c r="B21" s="176"/>
      <c r="C21" s="196"/>
    </row>
    <row r="22" spans="1:3" ht="15" hidden="1" customHeight="1" x14ac:dyDescent="0.25">
      <c r="A22" s="214"/>
      <c r="B22" s="176"/>
      <c r="C22" s="196"/>
    </row>
    <row r="23" spans="1:3" ht="15.75" thickBot="1" x14ac:dyDescent="0.3">
      <c r="A23" s="40" t="s">
        <v>39</v>
      </c>
      <c r="B23" s="82" t="s">
        <v>150</v>
      </c>
      <c r="C23" s="43" t="s">
        <v>152</v>
      </c>
    </row>
  </sheetData>
  <mergeCells count="6">
    <mergeCell ref="C4:C9"/>
    <mergeCell ref="C17:C22"/>
    <mergeCell ref="B4:B9"/>
    <mergeCell ref="B17:B22"/>
    <mergeCell ref="A4:A9"/>
    <mergeCell ref="A17:A2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6751-8BEB-4890-8FD7-DCFC192F9EE6}">
  <dimension ref="A1:J134"/>
  <sheetViews>
    <sheetView zoomScale="90" zoomScaleNormal="90" workbookViewId="0">
      <selection activeCell="H71" sqref="H71"/>
    </sheetView>
  </sheetViews>
  <sheetFormatPr baseColWidth="10" defaultRowHeight="15" outlineLevelRow="1" x14ac:dyDescent="0.25"/>
  <cols>
    <col min="3" max="3" width="14" customWidth="1"/>
    <col min="4" max="4" width="67" customWidth="1"/>
    <col min="5" max="8" width="17.28515625" customWidth="1"/>
  </cols>
  <sheetData>
    <row r="1" spans="1:8" x14ac:dyDescent="0.25">
      <c r="A1" s="170" t="s">
        <v>276</v>
      </c>
      <c r="B1" s="170"/>
      <c r="C1" s="170"/>
    </row>
    <row r="4" spans="1:8" x14ac:dyDescent="0.25">
      <c r="C4" s="93" t="s">
        <v>199</v>
      </c>
      <c r="D4" s="93" t="s">
        <v>197</v>
      </c>
      <c r="E4" s="102">
        <v>2023</v>
      </c>
      <c r="F4" s="107">
        <v>2024</v>
      </c>
      <c r="G4" s="103">
        <v>2025</v>
      </c>
      <c r="H4" s="103">
        <v>2026</v>
      </c>
    </row>
    <row r="5" spans="1:8" x14ac:dyDescent="0.25">
      <c r="C5" s="108"/>
      <c r="D5" s="108" t="str">
        <f>BDD!D4&amp;" "&amp;BDD!G4</f>
        <v>DEUIL LA BARRE Crèche</v>
      </c>
      <c r="F5" s="108"/>
      <c r="G5" s="104"/>
      <c r="H5" s="161">
        <f>BDD!S4</f>
        <v>87000</v>
      </c>
    </row>
    <row r="6" spans="1:8" x14ac:dyDescent="0.25">
      <c r="C6" s="108"/>
      <c r="D6" s="108" t="str">
        <f>BDD!D5&amp;" "&amp;BDD!G5</f>
        <v>DEUIL LA BARRE Ecole</v>
      </c>
      <c r="F6" s="108"/>
      <c r="G6" s="104"/>
      <c r="H6" s="161">
        <f>BDD!S5</f>
        <v>30600</v>
      </c>
    </row>
    <row r="7" spans="1:8" x14ac:dyDescent="0.25">
      <c r="C7" s="108"/>
      <c r="D7" s="108" t="str">
        <f>BDD!D6&amp;" "&amp;BDD!G6</f>
        <v>DEUIL LA BARRE Logements 1 appartement avec terrasse et jardin RDC</v>
      </c>
      <c r="F7" s="108"/>
      <c r="G7" s="104"/>
      <c r="H7" s="161">
        <f>BDD!S6</f>
        <v>10740</v>
      </c>
    </row>
    <row r="8" spans="1:8" x14ac:dyDescent="0.25">
      <c r="C8" s="108"/>
      <c r="D8" s="108" t="str">
        <f>BDD!D7&amp;" "&amp;BDD!G7</f>
        <v>DEUIL LA BARRE Logements 2 appartement RDC</v>
      </c>
      <c r="F8" s="108"/>
      <c r="G8" s="104"/>
      <c r="H8" s="161">
        <f>BDD!S7</f>
        <v>7080</v>
      </c>
    </row>
    <row r="9" spans="1:8" x14ac:dyDescent="0.25">
      <c r="C9" s="108"/>
      <c r="D9" s="108" t="str">
        <f>BDD!D8&amp;" "&amp;BDD!G8</f>
        <v>DEUIL LA BARRE Logements 3 1er étage à droite</v>
      </c>
      <c r="F9" s="108"/>
      <c r="G9" s="104"/>
      <c r="H9" s="161">
        <f>BDD!S8</f>
        <v>10440</v>
      </c>
    </row>
    <row r="10" spans="1:8" x14ac:dyDescent="0.25">
      <c r="C10" s="108"/>
      <c r="D10" s="108" t="str">
        <f>BDD!D9&amp;" "&amp;BDD!G9</f>
        <v>DEUIL LA BARRE Logements 4 1er étage à gauche</v>
      </c>
      <c r="F10" s="108"/>
      <c r="G10" s="104"/>
      <c r="H10" s="161">
        <f>BDD!S9</f>
        <v>12780</v>
      </c>
    </row>
    <row r="11" spans="1:8" outlineLevel="1" x14ac:dyDescent="0.25">
      <c r="C11" s="108"/>
      <c r="D11" s="108" t="s">
        <v>193</v>
      </c>
      <c r="F11" s="108"/>
      <c r="G11" s="104"/>
      <c r="H11" s="104"/>
    </row>
    <row r="12" spans="1:8" outlineLevel="1" x14ac:dyDescent="0.25">
      <c r="C12" s="108"/>
      <c r="D12" s="108" t="s">
        <v>194</v>
      </c>
      <c r="F12" s="108"/>
      <c r="G12" s="104"/>
      <c r="H12" s="104"/>
    </row>
    <row r="13" spans="1:8" outlineLevel="1" x14ac:dyDescent="0.25">
      <c r="C13" s="108"/>
      <c r="D13" s="108" t="s">
        <v>195</v>
      </c>
      <c r="F13" s="108"/>
      <c r="G13" s="104"/>
      <c r="H13" s="104"/>
    </row>
    <row r="14" spans="1:8" outlineLevel="1" x14ac:dyDescent="0.25">
      <c r="C14" s="109"/>
      <c r="D14" s="109" t="s">
        <v>196</v>
      </c>
      <c r="E14" s="105"/>
      <c r="F14" s="109"/>
      <c r="G14" s="106"/>
      <c r="H14" s="106"/>
    </row>
    <row r="16" spans="1:8" x14ac:dyDescent="0.25">
      <c r="D16" s="93" t="s">
        <v>198</v>
      </c>
      <c r="E16" s="107">
        <v>2023</v>
      </c>
      <c r="F16" s="107">
        <v>2024</v>
      </c>
      <c r="G16" s="107">
        <v>2025</v>
      </c>
      <c r="H16" s="107">
        <v>2026</v>
      </c>
    </row>
    <row r="17" spans="4:10" x14ac:dyDescent="0.25">
      <c r="D17" s="108" t="str">
        <f>D5</f>
        <v>DEUIL LA BARRE Crèche</v>
      </c>
      <c r="E17" s="108"/>
      <c r="F17" s="108"/>
      <c r="G17" s="108"/>
      <c r="H17" s="108"/>
    </row>
    <row r="18" spans="4:10" x14ac:dyDescent="0.25">
      <c r="D18" s="108" t="str">
        <f t="shared" ref="D18:D26" si="0">D6</f>
        <v>DEUIL LA BARRE Ecole</v>
      </c>
      <c r="E18" s="108"/>
      <c r="F18" s="108"/>
      <c r="G18" s="108"/>
      <c r="H18" s="108"/>
    </row>
    <row r="19" spans="4:10" x14ac:dyDescent="0.25">
      <c r="D19" s="108" t="str">
        <f t="shared" si="0"/>
        <v>DEUIL LA BARRE Logements 1 appartement avec terrasse et jardin RDC</v>
      </c>
      <c r="E19" s="108"/>
      <c r="F19" s="108"/>
      <c r="G19" s="108"/>
      <c r="H19" s="108"/>
    </row>
    <row r="20" spans="4:10" x14ac:dyDescent="0.25">
      <c r="D20" s="108" t="str">
        <f t="shared" si="0"/>
        <v>DEUIL LA BARRE Logements 2 appartement RDC</v>
      </c>
      <c r="E20" s="108"/>
      <c r="F20" s="108"/>
      <c r="G20" s="108"/>
      <c r="H20" s="108"/>
    </row>
    <row r="21" spans="4:10" x14ac:dyDescent="0.25">
      <c r="D21" s="108" t="str">
        <f t="shared" si="0"/>
        <v>DEUIL LA BARRE Logements 3 1er étage à droite</v>
      </c>
      <c r="E21" s="108"/>
      <c r="F21" s="108"/>
      <c r="G21" s="108"/>
      <c r="H21" s="108"/>
    </row>
    <row r="22" spans="4:10" x14ac:dyDescent="0.25">
      <c r="D22" s="108" t="str">
        <f t="shared" si="0"/>
        <v>DEUIL LA BARRE Logements 4 1er étage à gauche</v>
      </c>
      <c r="E22" s="108"/>
      <c r="F22" s="108"/>
      <c r="G22" s="108"/>
      <c r="H22" s="108"/>
    </row>
    <row r="23" spans="4:10" hidden="1" outlineLevel="1" x14ac:dyDescent="0.25">
      <c r="D23" s="108" t="str">
        <f t="shared" si="0"/>
        <v>Location 7</v>
      </c>
      <c r="E23" s="108"/>
      <c r="F23" s="108"/>
      <c r="G23" s="108"/>
      <c r="H23" s="108"/>
    </row>
    <row r="24" spans="4:10" hidden="1" outlineLevel="1" x14ac:dyDescent="0.25">
      <c r="D24" s="108" t="str">
        <f t="shared" si="0"/>
        <v>Location 8</v>
      </c>
      <c r="E24" s="108"/>
      <c r="F24" s="108"/>
      <c r="G24" s="108"/>
      <c r="H24" s="108"/>
    </row>
    <row r="25" spans="4:10" hidden="1" outlineLevel="1" x14ac:dyDescent="0.25">
      <c r="D25" s="108" t="str">
        <f t="shared" si="0"/>
        <v>Location 9</v>
      </c>
      <c r="E25" s="108"/>
      <c r="F25" s="108"/>
      <c r="G25" s="108"/>
      <c r="H25" s="108"/>
    </row>
    <row r="26" spans="4:10" hidden="1" outlineLevel="1" x14ac:dyDescent="0.25">
      <c r="D26" s="109" t="str">
        <f t="shared" si="0"/>
        <v>Location 10</v>
      </c>
      <c r="E26" s="109"/>
      <c r="F26" s="109"/>
      <c r="G26" s="109"/>
      <c r="H26" s="109"/>
    </row>
    <row r="27" spans="4:10" collapsed="1" x14ac:dyDescent="0.25"/>
    <row r="29" spans="4:10" x14ac:dyDescent="0.25">
      <c r="D29" s="171"/>
      <c r="E29" s="110">
        <v>2023</v>
      </c>
      <c r="F29" s="110">
        <v>2024</v>
      </c>
      <c r="G29" s="110">
        <v>2025</v>
      </c>
      <c r="H29" s="110">
        <v>2026</v>
      </c>
    </row>
    <row r="30" spans="4:10" x14ac:dyDescent="0.25">
      <c r="D30" s="172"/>
    </row>
    <row r="31" spans="4:10" ht="15" customHeight="1" x14ac:dyDescent="0.25">
      <c r="D31" s="93" t="s">
        <v>156</v>
      </c>
      <c r="E31" s="99">
        <f>SUM(E32:E35)</f>
        <v>105549</v>
      </c>
      <c r="F31" s="94">
        <f>SUM(F32:F35)</f>
        <v>174596</v>
      </c>
      <c r="G31" s="94">
        <f>SUM(G32:G35)</f>
        <v>202520</v>
      </c>
      <c r="H31" s="94">
        <f>SUM(H32:H35)</f>
        <v>206570.4</v>
      </c>
      <c r="J31" s="163">
        <f t="shared" ref="J31:J37" si="1">G31/0.07</f>
        <v>2893142.8571428568</v>
      </c>
    </row>
    <row r="32" spans="4:10" outlineLevel="1" x14ac:dyDescent="0.25">
      <c r="D32" s="86" t="s">
        <v>295</v>
      </c>
      <c r="E32" s="100">
        <v>91673</v>
      </c>
      <c r="F32" s="95">
        <v>97146</v>
      </c>
      <c r="G32" s="95">
        <v>100089</v>
      </c>
      <c r="H32" s="95">
        <f>G32*(1+I32)</f>
        <v>102090.78</v>
      </c>
      <c r="I32" s="162">
        <v>0.02</v>
      </c>
      <c r="J32" s="163">
        <f t="shared" si="1"/>
        <v>1429842.857142857</v>
      </c>
    </row>
    <row r="33" spans="4:10" outlineLevel="1" x14ac:dyDescent="0.25">
      <c r="D33" s="85" t="s">
        <v>157</v>
      </c>
      <c r="E33" s="100">
        <v>3698</v>
      </c>
      <c r="F33" s="95">
        <v>63428</v>
      </c>
      <c r="G33" s="95">
        <f>176716-G32</f>
        <v>76627</v>
      </c>
      <c r="H33" s="95">
        <f>G33*(1+I33)</f>
        <v>78159.540000000008</v>
      </c>
      <c r="I33" s="162">
        <v>0.02</v>
      </c>
      <c r="J33" s="163">
        <f t="shared" si="1"/>
        <v>1094671.4285714284</v>
      </c>
    </row>
    <row r="34" spans="4:10" outlineLevel="1" x14ac:dyDescent="0.25">
      <c r="D34" s="86" t="s">
        <v>299</v>
      </c>
      <c r="E34" s="100">
        <v>9805</v>
      </c>
      <c r="F34" s="95">
        <v>7523</v>
      </c>
      <c r="G34" s="95">
        <v>16931</v>
      </c>
      <c r="H34" s="95">
        <f>G34*(1+I34)</f>
        <v>17269.62</v>
      </c>
      <c r="I34" s="162">
        <v>0.02</v>
      </c>
      <c r="J34" s="163">
        <f t="shared" si="1"/>
        <v>241871.42857142855</v>
      </c>
    </row>
    <row r="35" spans="4:10" outlineLevel="1" x14ac:dyDescent="0.25">
      <c r="D35" s="87" t="s">
        <v>154</v>
      </c>
      <c r="E35" s="100">
        <v>373</v>
      </c>
      <c r="F35" s="95">
        <v>6499</v>
      </c>
      <c r="G35" s="95">
        <f>25804-G34</f>
        <v>8873</v>
      </c>
      <c r="H35" s="95">
        <f>G35*(1+I35)</f>
        <v>9050.4600000000009</v>
      </c>
      <c r="I35" s="162">
        <v>0.02</v>
      </c>
      <c r="J35" s="163">
        <f t="shared" si="1"/>
        <v>126757.14285714284</v>
      </c>
    </row>
    <row r="36" spans="4:10" x14ac:dyDescent="0.25">
      <c r="D36" s="90" t="s">
        <v>158</v>
      </c>
      <c r="E36" s="98">
        <f>E37</f>
        <v>0</v>
      </c>
      <c r="F36" s="96">
        <f>F37</f>
        <v>0</v>
      </c>
      <c r="G36" s="96">
        <f>G37</f>
        <v>4081</v>
      </c>
      <c r="H36" s="96">
        <f>H37</f>
        <v>0</v>
      </c>
      <c r="I36" s="162"/>
      <c r="J36" s="163">
        <f t="shared" si="1"/>
        <v>58299.999999999993</v>
      </c>
    </row>
    <row r="37" spans="4:10" outlineLevel="1" x14ac:dyDescent="0.25">
      <c r="D37" s="101" t="s">
        <v>159</v>
      </c>
      <c r="E37" s="100">
        <v>0</v>
      </c>
      <c r="F37" s="95">
        <v>0</v>
      </c>
      <c r="G37" s="95">
        <v>4081</v>
      </c>
      <c r="H37" s="95"/>
      <c r="I37" s="162"/>
      <c r="J37" s="163">
        <f t="shared" si="1"/>
        <v>58299.999999999993</v>
      </c>
    </row>
    <row r="38" spans="4:10" x14ac:dyDescent="0.25">
      <c r="D38" s="92" t="s">
        <v>155</v>
      </c>
      <c r="E38" s="94">
        <f>E37+E31</f>
        <v>105549</v>
      </c>
      <c r="F38" s="94">
        <f>F37+F31</f>
        <v>174596</v>
      </c>
      <c r="G38" s="94">
        <f>G37+G31</f>
        <v>206601</v>
      </c>
      <c r="H38" s="94">
        <f>H37+H31</f>
        <v>206570.4</v>
      </c>
      <c r="I38" s="162"/>
      <c r="J38" s="163">
        <f>G38/0.07</f>
        <v>2951442.8571428568</v>
      </c>
    </row>
    <row r="39" spans="4:10" x14ac:dyDescent="0.25">
      <c r="D39" s="90" t="s">
        <v>160</v>
      </c>
      <c r="E39" s="96">
        <f>SUM(E40:E54)</f>
        <v>36340</v>
      </c>
      <c r="F39" s="96">
        <f>SUM(F40:F54)</f>
        <v>27181</v>
      </c>
      <c r="G39" s="96">
        <f>SUM(G40:G54)</f>
        <v>32240.37</v>
      </c>
      <c r="H39" s="96">
        <f>SUM(H40:H54)</f>
        <v>32887.166400000002</v>
      </c>
      <c r="I39" s="162"/>
    </row>
    <row r="40" spans="4:10" outlineLevel="1" x14ac:dyDescent="0.25">
      <c r="D40" s="85" t="s">
        <v>161</v>
      </c>
      <c r="E40" s="95">
        <v>1976</v>
      </c>
      <c r="F40" s="95">
        <v>3206</v>
      </c>
      <c r="G40" s="95">
        <v>1860.2</v>
      </c>
      <c r="H40" s="95">
        <f>AVERAGE(E40:G40)*(1+I40)</f>
        <v>2394.348</v>
      </c>
      <c r="I40" s="162">
        <v>0.02</v>
      </c>
    </row>
    <row r="41" spans="4:10" outlineLevel="1" x14ac:dyDescent="0.25">
      <c r="D41" s="85" t="s">
        <v>162</v>
      </c>
      <c r="E41" s="95">
        <v>2562</v>
      </c>
      <c r="F41" s="95">
        <v>3339</v>
      </c>
      <c r="G41" s="95">
        <v>3387</v>
      </c>
      <c r="H41" s="95">
        <f t="shared" ref="H41:H48" si="2">AVERAGE(E41:G41)*(1+I41)</f>
        <v>3157.92</v>
      </c>
      <c r="I41" s="162">
        <v>0.02</v>
      </c>
    </row>
    <row r="42" spans="4:10" outlineLevel="1" x14ac:dyDescent="0.25">
      <c r="D42" s="85" t="s">
        <v>163</v>
      </c>
      <c r="E42" s="95">
        <v>894</v>
      </c>
      <c r="F42" s="95">
        <v>328</v>
      </c>
      <c r="G42" s="95"/>
      <c r="H42" s="95">
        <f t="shared" si="2"/>
        <v>623.22</v>
      </c>
      <c r="I42" s="162">
        <v>0.02</v>
      </c>
    </row>
    <row r="43" spans="4:10" outlineLevel="1" x14ac:dyDescent="0.25">
      <c r="D43" s="85" t="s">
        <v>164</v>
      </c>
      <c r="E43" s="95">
        <v>1510</v>
      </c>
      <c r="F43" s="95">
        <v>0</v>
      </c>
      <c r="G43" s="95"/>
      <c r="H43" s="95">
        <f t="shared" si="2"/>
        <v>770.1</v>
      </c>
      <c r="I43" s="162">
        <v>0.02</v>
      </c>
    </row>
    <row r="44" spans="4:10" outlineLevel="1" x14ac:dyDescent="0.25">
      <c r="D44" s="85" t="s">
        <v>165</v>
      </c>
      <c r="E44" s="95">
        <v>270</v>
      </c>
      <c r="F44" s="95">
        <v>2399</v>
      </c>
      <c r="G44" s="95">
        <v>3046</v>
      </c>
      <c r="H44" s="95">
        <f>G44*(1+I44)</f>
        <v>3106.92</v>
      </c>
      <c r="I44" s="162">
        <v>0.02</v>
      </c>
    </row>
    <row r="45" spans="4:10" outlineLevel="1" x14ac:dyDescent="0.25">
      <c r="D45" s="85" t="s">
        <v>166</v>
      </c>
      <c r="E45" s="95"/>
      <c r="F45" s="95">
        <v>816</v>
      </c>
      <c r="G45" s="95"/>
      <c r="H45" s="95">
        <f t="shared" si="2"/>
        <v>832.32</v>
      </c>
      <c r="I45" s="162">
        <v>0.02</v>
      </c>
    </row>
    <row r="46" spans="4:10" outlineLevel="1" x14ac:dyDescent="0.25">
      <c r="D46" s="85" t="s">
        <v>167</v>
      </c>
      <c r="E46" s="95"/>
      <c r="F46" s="95">
        <v>120</v>
      </c>
      <c r="G46" s="95"/>
      <c r="H46" s="95">
        <f t="shared" si="2"/>
        <v>122.4</v>
      </c>
      <c r="I46" s="162">
        <v>0.02</v>
      </c>
    </row>
    <row r="47" spans="4:10" outlineLevel="1" x14ac:dyDescent="0.25">
      <c r="D47" s="85" t="s">
        <v>168</v>
      </c>
      <c r="E47" s="95">
        <v>81</v>
      </c>
      <c r="F47" s="95">
        <v>923</v>
      </c>
      <c r="G47" s="95">
        <v>1030</v>
      </c>
      <c r="H47" s="95">
        <f t="shared" si="2"/>
        <v>691.56000000000006</v>
      </c>
      <c r="I47" s="162">
        <v>0.02</v>
      </c>
    </row>
    <row r="48" spans="4:10" outlineLevel="1" x14ac:dyDescent="0.25">
      <c r="D48" s="85" t="s">
        <v>169</v>
      </c>
      <c r="E48" s="95"/>
      <c r="F48" s="95">
        <v>87</v>
      </c>
      <c r="G48" s="95">
        <v>95.5</v>
      </c>
      <c r="H48" s="95">
        <f t="shared" si="2"/>
        <v>93.075000000000003</v>
      </c>
      <c r="I48" s="162">
        <v>0.02</v>
      </c>
    </row>
    <row r="49" spans="4:9" outlineLevel="1" x14ac:dyDescent="0.25">
      <c r="D49" s="85" t="s">
        <v>170</v>
      </c>
      <c r="E49" s="95">
        <v>1781</v>
      </c>
      <c r="F49" s="95">
        <v>1440</v>
      </c>
      <c r="G49" s="95">
        <v>1555</v>
      </c>
      <c r="H49" s="95">
        <f>G49*(1+I49)</f>
        <v>1586.1000000000001</v>
      </c>
      <c r="I49" s="162">
        <v>0.02</v>
      </c>
    </row>
    <row r="50" spans="4:9" outlineLevel="1" x14ac:dyDescent="0.25">
      <c r="D50" s="85" t="s">
        <v>171</v>
      </c>
      <c r="E50" s="95">
        <v>297</v>
      </c>
      <c r="F50" s="95">
        <v>306</v>
      </c>
      <c r="G50" s="95">
        <v>330</v>
      </c>
      <c r="H50" s="95">
        <f>G50*(1+I50)</f>
        <v>336.6</v>
      </c>
      <c r="I50" s="162">
        <v>0.02</v>
      </c>
    </row>
    <row r="51" spans="4:9" outlineLevel="1" x14ac:dyDescent="0.25">
      <c r="D51" s="85" t="s">
        <v>172</v>
      </c>
      <c r="E51" s="95">
        <v>25655</v>
      </c>
      <c r="F51" s="95"/>
      <c r="G51" s="95"/>
      <c r="H51" s="95">
        <f t="shared" ref="H51:H52" si="3">G51*(1+I51)</f>
        <v>0</v>
      </c>
      <c r="I51" s="162">
        <v>0.02</v>
      </c>
    </row>
    <row r="52" spans="4:9" outlineLevel="1" x14ac:dyDescent="0.25">
      <c r="D52" s="85" t="s">
        <v>173</v>
      </c>
      <c r="E52" s="95"/>
      <c r="F52" s="95">
        <v>13888</v>
      </c>
      <c r="G52" s="95">
        <v>18503.669999999998</v>
      </c>
      <c r="H52" s="95">
        <f t="shared" si="3"/>
        <v>18873.743399999999</v>
      </c>
      <c r="I52" s="162">
        <v>0.02</v>
      </c>
    </row>
    <row r="53" spans="4:9" outlineLevel="1" x14ac:dyDescent="0.25">
      <c r="D53" s="85" t="s">
        <v>174</v>
      </c>
      <c r="E53" s="95">
        <v>987</v>
      </c>
      <c r="F53" s="95">
        <v>70</v>
      </c>
      <c r="G53" s="95"/>
      <c r="H53" s="95"/>
      <c r="I53" s="162">
        <v>0.02</v>
      </c>
    </row>
    <row r="54" spans="4:9" outlineLevel="1" x14ac:dyDescent="0.25">
      <c r="D54" s="88" t="s">
        <v>175</v>
      </c>
      <c r="E54" s="95">
        <v>327</v>
      </c>
      <c r="F54" s="95">
        <v>259</v>
      </c>
      <c r="G54" s="95">
        <v>2433</v>
      </c>
      <c r="H54" s="95">
        <f>AVERAGE(E54:F54)*(1+I54)</f>
        <v>298.86</v>
      </c>
      <c r="I54" s="162">
        <v>0.02</v>
      </c>
    </row>
    <row r="55" spans="4:9" x14ac:dyDescent="0.25">
      <c r="D55" s="90" t="s">
        <v>176</v>
      </c>
      <c r="E55" s="96">
        <f>E56+E57</f>
        <v>7243</v>
      </c>
      <c r="F55" s="96">
        <f>F56+F57</f>
        <v>13510</v>
      </c>
      <c r="G55" s="96">
        <f>G56+G57</f>
        <v>17368</v>
      </c>
      <c r="H55" s="96">
        <f>H56+H57</f>
        <v>17681.18</v>
      </c>
    </row>
    <row r="56" spans="4:9" outlineLevel="1" x14ac:dyDescent="0.25">
      <c r="D56" s="85" t="s">
        <v>177</v>
      </c>
      <c r="E56" s="95">
        <v>7243</v>
      </c>
      <c r="F56" s="95">
        <v>11894</v>
      </c>
      <c r="G56" s="95">
        <v>15659</v>
      </c>
      <c r="H56" s="95">
        <f>G56*(1+I56)</f>
        <v>15972.18</v>
      </c>
      <c r="I56" s="162">
        <v>0.02</v>
      </c>
    </row>
    <row r="57" spans="4:9" outlineLevel="1" x14ac:dyDescent="0.25">
      <c r="D57" s="88" t="s">
        <v>317</v>
      </c>
      <c r="E57" s="95"/>
      <c r="F57" s="95">
        <v>1616</v>
      </c>
      <c r="G57" s="95">
        <v>1709</v>
      </c>
      <c r="H57" s="95">
        <f>G57*(1+I57)</f>
        <v>1709</v>
      </c>
    </row>
    <row r="58" spans="4:9" x14ac:dyDescent="0.25">
      <c r="D58" s="90" t="s">
        <v>179</v>
      </c>
      <c r="E58" s="96">
        <f>E59</f>
        <v>69238</v>
      </c>
      <c r="F58" s="96">
        <f>F59</f>
        <v>103791</v>
      </c>
      <c r="G58" s="96">
        <f>G59</f>
        <v>103791</v>
      </c>
      <c r="H58" s="96">
        <f>H59</f>
        <v>103791</v>
      </c>
    </row>
    <row r="59" spans="4:9" outlineLevel="1" x14ac:dyDescent="0.25">
      <c r="D59" s="88" t="s">
        <v>180</v>
      </c>
      <c r="E59" s="95">
        <v>69238</v>
      </c>
      <c r="F59" s="95">
        <v>103791</v>
      </c>
      <c r="G59" s="95">
        <v>103791</v>
      </c>
      <c r="H59" s="95">
        <f>G59</f>
        <v>103791</v>
      </c>
    </row>
    <row r="60" spans="4:9" x14ac:dyDescent="0.25">
      <c r="D60" s="90" t="s">
        <v>181</v>
      </c>
      <c r="E60" s="96">
        <f>E61</f>
        <v>0</v>
      </c>
      <c r="F60" s="96">
        <f>F61</f>
        <v>22</v>
      </c>
      <c r="G60" s="96">
        <f>G61</f>
        <v>0</v>
      </c>
      <c r="H60" s="96">
        <f>H61</f>
        <v>0</v>
      </c>
    </row>
    <row r="61" spans="4:9" outlineLevel="1" x14ac:dyDescent="0.25">
      <c r="D61" s="88" t="s">
        <v>182</v>
      </c>
      <c r="E61" s="95">
        <v>0</v>
      </c>
      <c r="F61" s="95">
        <v>22</v>
      </c>
      <c r="G61" s="95"/>
      <c r="H61" s="95"/>
    </row>
    <row r="62" spans="4:9" x14ac:dyDescent="0.25">
      <c r="D62" s="91" t="s">
        <v>186</v>
      </c>
      <c r="E62" s="94">
        <f>E60+E58+E55+E39</f>
        <v>112821</v>
      </c>
      <c r="F62" s="94">
        <f>F60+F58+F55+F39</f>
        <v>144504</v>
      </c>
      <c r="G62" s="94">
        <f>G60+G58+G55+G39</f>
        <v>153399.37</v>
      </c>
      <c r="H62" s="94">
        <f>H60+H58+H55+H39</f>
        <v>154359.34639999998</v>
      </c>
    </row>
    <row r="63" spans="4:9" x14ac:dyDescent="0.25">
      <c r="D63" s="92" t="s">
        <v>187</v>
      </c>
      <c r="E63" s="94">
        <f>E38-E62</f>
        <v>-7272</v>
      </c>
      <c r="F63" s="94">
        <f>F38-F62</f>
        <v>30092</v>
      </c>
      <c r="G63" s="94">
        <f>G38-G62</f>
        <v>53201.630000000005</v>
      </c>
      <c r="H63" s="94">
        <f>H38-H62</f>
        <v>52211.053600000014</v>
      </c>
    </row>
    <row r="64" spans="4:9" x14ac:dyDescent="0.25">
      <c r="D64" s="89" t="s">
        <v>183</v>
      </c>
      <c r="E64" s="96">
        <f>E65+E66</f>
        <v>24358</v>
      </c>
      <c r="F64" s="96">
        <f>F65+F66</f>
        <v>22623</v>
      </c>
      <c r="G64" s="96">
        <f>G65+G66</f>
        <v>22142</v>
      </c>
      <c r="H64" s="96">
        <f>H65+H66</f>
        <v>20671.380079351729</v>
      </c>
    </row>
    <row r="65" spans="4:8" outlineLevel="1" x14ac:dyDescent="0.25">
      <c r="D65" s="85" t="s">
        <v>184</v>
      </c>
      <c r="E65" s="95"/>
      <c r="F65" s="95">
        <v>7</v>
      </c>
      <c r="G65" s="95">
        <v>1</v>
      </c>
      <c r="H65" s="95"/>
    </row>
    <row r="66" spans="4:8" outlineLevel="1" x14ac:dyDescent="0.25">
      <c r="D66" s="88" t="s">
        <v>185</v>
      </c>
      <c r="E66" s="95">
        <v>24358</v>
      </c>
      <c r="F66" s="95">
        <v>22616</v>
      </c>
      <c r="G66" s="95">
        <v>22141</v>
      </c>
      <c r="H66" s="95">
        <f>-Emprunts!BH7-Emprunts!BH8</f>
        <v>20671.380079351729</v>
      </c>
    </row>
    <row r="67" spans="4:8" x14ac:dyDescent="0.25">
      <c r="D67" s="91" t="s">
        <v>188</v>
      </c>
      <c r="E67" s="94">
        <f>E64</f>
        <v>24358</v>
      </c>
      <c r="F67" s="94">
        <f>F64</f>
        <v>22623</v>
      </c>
      <c r="G67" s="94">
        <f>G64</f>
        <v>22142</v>
      </c>
      <c r="H67" s="94">
        <f>H64</f>
        <v>20671.380079351729</v>
      </c>
    </row>
    <row r="68" spans="4:8" x14ac:dyDescent="0.25">
      <c r="D68" s="92" t="s">
        <v>189</v>
      </c>
      <c r="E68" s="94">
        <f>E67</f>
        <v>24358</v>
      </c>
      <c r="F68" s="94">
        <f>F67</f>
        <v>22623</v>
      </c>
      <c r="G68" s="94">
        <f>G67</f>
        <v>22142</v>
      </c>
      <c r="H68" s="94">
        <f>H67</f>
        <v>20671.380079351729</v>
      </c>
    </row>
    <row r="69" spans="4:8" x14ac:dyDescent="0.25">
      <c r="D69" s="92" t="s">
        <v>190</v>
      </c>
      <c r="E69" s="97">
        <f>E63-E68</f>
        <v>-31630</v>
      </c>
      <c r="F69" s="97">
        <f>F63-F68</f>
        <v>7469</v>
      </c>
      <c r="G69" s="97">
        <f>G63-G68</f>
        <v>31059.630000000005</v>
      </c>
      <c r="H69" s="97">
        <f>H63-H68</f>
        <v>31539.673520648284</v>
      </c>
    </row>
    <row r="70" spans="4:8" hidden="1" outlineLevel="1" x14ac:dyDescent="0.25">
      <c r="D70" s="86" t="s">
        <v>191</v>
      </c>
      <c r="E70" s="95"/>
      <c r="F70" s="95"/>
      <c r="G70" s="95"/>
      <c r="H70" s="95"/>
    </row>
    <row r="71" spans="4:8" collapsed="1" x14ac:dyDescent="0.25">
      <c r="D71" s="92" t="s">
        <v>192</v>
      </c>
      <c r="E71" s="97">
        <f>E69-E70</f>
        <v>-31630</v>
      </c>
      <c r="F71" s="97">
        <f>F69-F70</f>
        <v>7469</v>
      </c>
      <c r="G71" s="97">
        <f>G69-G70</f>
        <v>31059.630000000005</v>
      </c>
      <c r="H71" s="97">
        <f>H69-H70</f>
        <v>31539.673520648284</v>
      </c>
    </row>
    <row r="73" spans="4:8" collapsed="1" x14ac:dyDescent="0.25">
      <c r="D73" s="92" t="s">
        <v>211</v>
      </c>
      <c r="E73" s="97">
        <f>SUM(E74:E84)</f>
        <v>2364237</v>
      </c>
      <c r="F73" s="97">
        <f>SUM(F74:F84)</f>
        <v>2384011</v>
      </c>
      <c r="G73" s="97">
        <f t="shared" ref="G73:H73" si="4">SUM(G74:G84)</f>
        <v>2389717</v>
      </c>
      <c r="H73" s="97">
        <f t="shared" si="4"/>
        <v>0</v>
      </c>
    </row>
    <row r="74" spans="4:8" outlineLevel="1" x14ac:dyDescent="0.25">
      <c r="D74" s="112" t="s">
        <v>200</v>
      </c>
      <c r="E74" s="113">
        <v>380000</v>
      </c>
      <c r="F74" s="113">
        <v>380000</v>
      </c>
      <c r="G74" s="113">
        <v>380000</v>
      </c>
      <c r="H74" s="113"/>
    </row>
    <row r="75" spans="4:8" outlineLevel="1" x14ac:dyDescent="0.25">
      <c r="D75" s="111" t="s">
        <v>201</v>
      </c>
      <c r="E75" s="96">
        <v>97721</v>
      </c>
      <c r="F75" s="96">
        <v>90581</v>
      </c>
      <c r="G75" s="96"/>
      <c r="H75" s="96"/>
    </row>
    <row r="76" spans="4:8" outlineLevel="1" x14ac:dyDescent="0.25">
      <c r="D76" s="111" t="s">
        <v>202</v>
      </c>
      <c r="E76" s="96">
        <v>417069</v>
      </c>
      <c r="F76" s="96">
        <v>429276</v>
      </c>
      <c r="G76" s="96">
        <v>889577</v>
      </c>
      <c r="H76" s="96"/>
    </row>
    <row r="77" spans="4:8" outlineLevel="1" x14ac:dyDescent="0.25">
      <c r="D77" s="111" t="s">
        <v>203</v>
      </c>
      <c r="E77" s="96">
        <v>472509</v>
      </c>
      <c r="F77" s="96">
        <v>485310</v>
      </c>
      <c r="G77" s="96"/>
      <c r="H77" s="96"/>
    </row>
    <row r="78" spans="4:8" outlineLevel="1" x14ac:dyDescent="0.25">
      <c r="D78" s="111" t="s">
        <v>204</v>
      </c>
      <c r="E78" s="96">
        <v>167485</v>
      </c>
      <c r="F78" s="96">
        <v>167485</v>
      </c>
      <c r="G78" s="96">
        <v>167485</v>
      </c>
      <c r="H78" s="96"/>
    </row>
    <row r="79" spans="4:8" outlineLevel="1" x14ac:dyDescent="0.25">
      <c r="D79" s="111" t="s">
        <v>205</v>
      </c>
      <c r="E79" s="96">
        <v>118205</v>
      </c>
      <c r="F79" s="96">
        <v>118205</v>
      </c>
      <c r="G79" s="96">
        <v>118205</v>
      </c>
      <c r="H79" s="96"/>
    </row>
    <row r="80" spans="4:8" outlineLevel="1" x14ac:dyDescent="0.25">
      <c r="D80" s="111" t="s">
        <v>206</v>
      </c>
      <c r="E80" s="96">
        <v>255694</v>
      </c>
      <c r="F80" s="96">
        <v>255694</v>
      </c>
      <c r="G80" s="96">
        <v>255694</v>
      </c>
      <c r="H80" s="96"/>
    </row>
    <row r="81" spans="2:8" outlineLevel="1" x14ac:dyDescent="0.25">
      <c r="D81" s="111" t="s">
        <v>207</v>
      </c>
      <c r="E81" s="96">
        <v>274743</v>
      </c>
      <c r="F81" s="96">
        <v>274743</v>
      </c>
      <c r="G81" s="96">
        <v>274743</v>
      </c>
      <c r="H81" s="96"/>
    </row>
    <row r="82" spans="2:8" outlineLevel="1" x14ac:dyDescent="0.25">
      <c r="D82" s="111" t="s">
        <v>208</v>
      </c>
      <c r="E82" s="96">
        <v>83984</v>
      </c>
      <c r="F82" s="96">
        <v>83984</v>
      </c>
      <c r="G82" s="96">
        <v>278531</v>
      </c>
      <c r="H82" s="96"/>
    </row>
    <row r="83" spans="2:8" outlineLevel="1" x14ac:dyDescent="0.25">
      <c r="D83" s="111" t="s">
        <v>209</v>
      </c>
      <c r="E83" s="96">
        <v>87483</v>
      </c>
      <c r="F83" s="96">
        <v>87483</v>
      </c>
      <c r="G83" s="96">
        <v>17867</v>
      </c>
      <c r="H83" s="96"/>
    </row>
    <row r="84" spans="2:8" outlineLevel="1" x14ac:dyDescent="0.25">
      <c r="D84" s="114" t="s">
        <v>210</v>
      </c>
      <c r="E84" s="115">
        <v>9344</v>
      </c>
      <c r="F84" s="115">
        <v>11250</v>
      </c>
      <c r="G84" s="115">
        <v>7615</v>
      </c>
      <c r="H84" s="115"/>
    </row>
    <row r="86" spans="2:8" collapsed="1" x14ac:dyDescent="0.25">
      <c r="D86" s="92" t="s">
        <v>213</v>
      </c>
      <c r="E86" s="97">
        <f>SUM(E87:E92)</f>
        <v>2444262</v>
      </c>
      <c r="F86" s="97">
        <f>SUM(F87:F92)</f>
        <v>2451099</v>
      </c>
      <c r="G86" s="97">
        <f t="shared" ref="G86:H86" si="5">SUM(G87:G92)</f>
        <v>1924000</v>
      </c>
      <c r="H86" s="97">
        <f t="shared" si="5"/>
        <v>0</v>
      </c>
    </row>
    <row r="87" spans="2:8" outlineLevel="1" x14ac:dyDescent="0.25">
      <c r="D87" s="112" t="s">
        <v>212</v>
      </c>
      <c r="E87" s="113">
        <v>409000</v>
      </c>
      <c r="F87" s="113">
        <v>409000</v>
      </c>
      <c r="G87" s="113">
        <v>409000</v>
      </c>
      <c r="H87" s="113"/>
    </row>
    <row r="88" spans="2:8" outlineLevel="1" x14ac:dyDescent="0.25">
      <c r="D88" s="111" t="s">
        <v>212</v>
      </c>
      <c r="E88" s="96">
        <v>1515000</v>
      </c>
      <c r="F88" s="96">
        <v>1515000</v>
      </c>
      <c r="G88" s="96">
        <v>1515000</v>
      </c>
      <c r="H88" s="96"/>
    </row>
    <row r="89" spans="2:8" outlineLevel="1" x14ac:dyDescent="0.25">
      <c r="D89" s="111" t="s">
        <v>294</v>
      </c>
      <c r="E89" s="96"/>
      <c r="F89" s="96"/>
      <c r="G89" s="96"/>
      <c r="H89" s="96"/>
    </row>
    <row r="90" spans="2:8" outlineLevel="1" x14ac:dyDescent="0.25">
      <c r="D90" s="111" t="s">
        <v>214</v>
      </c>
      <c r="E90" s="96">
        <v>132554</v>
      </c>
      <c r="F90" s="96">
        <v>255743</v>
      </c>
      <c r="G90" s="96"/>
      <c r="H90" s="96"/>
    </row>
    <row r="91" spans="2:8" outlineLevel="1" x14ac:dyDescent="0.25">
      <c r="D91" s="111" t="s">
        <v>215</v>
      </c>
      <c r="E91" s="96">
        <v>133554</v>
      </c>
      <c r="F91" s="96">
        <v>256743</v>
      </c>
      <c r="G91" s="96"/>
      <c r="H91" s="96"/>
    </row>
    <row r="92" spans="2:8" outlineLevel="1" x14ac:dyDescent="0.25">
      <c r="D92" s="114" t="s">
        <v>216</v>
      </c>
      <c r="E92" s="115">
        <v>254154</v>
      </c>
      <c r="F92" s="115">
        <v>14613</v>
      </c>
      <c r="G92" s="115"/>
      <c r="H92" s="115"/>
    </row>
    <row r="95" spans="2:8" collapsed="1" x14ac:dyDescent="0.25">
      <c r="B95" s="158" t="s">
        <v>278</v>
      </c>
      <c r="C95" s="158" t="s">
        <v>277</v>
      </c>
      <c r="D95" s="92" t="s">
        <v>221</v>
      </c>
      <c r="E95" s="97">
        <f>SUM(E96:E107)</f>
        <v>2305890</v>
      </c>
      <c r="F95" s="97">
        <f>SUM(F96:F107)</f>
        <v>2183392</v>
      </c>
      <c r="G95" s="97">
        <f t="shared" ref="G95:H95" si="6">SUM(G96:G107)</f>
        <v>1789854.4039248496</v>
      </c>
      <c r="H95" s="97">
        <f t="shared" si="6"/>
        <v>1610125.6179149498</v>
      </c>
    </row>
    <row r="96" spans="2:8" outlineLevel="1" x14ac:dyDescent="0.25">
      <c r="B96">
        <v>2035</v>
      </c>
      <c r="C96" s="159">
        <v>1.35E-2</v>
      </c>
      <c r="D96" s="112" t="s">
        <v>217</v>
      </c>
      <c r="E96" s="113">
        <v>361377</v>
      </c>
      <c r="F96" s="113">
        <v>333655</v>
      </c>
      <c r="G96" s="113">
        <f>Emprunts!V6</f>
        <v>305556.77369127376</v>
      </c>
      <c r="H96" s="113">
        <f>Emprunts!X6</f>
        <v>277076.47760202223</v>
      </c>
    </row>
    <row r="97" spans="2:8" outlineLevel="1" x14ac:dyDescent="0.25">
      <c r="B97">
        <v>2036</v>
      </c>
      <c r="C97" s="159">
        <v>1.35E-2</v>
      </c>
      <c r="D97" s="111" t="s">
        <v>218</v>
      </c>
      <c r="E97" s="96">
        <v>1380978</v>
      </c>
      <c r="F97" s="96">
        <v>1278867</v>
      </c>
      <c r="G97" s="96">
        <f>Emprunts!V7</f>
        <v>1175368.7829993453</v>
      </c>
      <c r="H97" s="96">
        <f>Emprunts!X7</f>
        <v>1070464.9101257892</v>
      </c>
    </row>
    <row r="98" spans="2:8" outlineLevel="1" x14ac:dyDescent="0.25">
      <c r="B98">
        <v>2032</v>
      </c>
      <c r="C98" s="159">
        <v>3.5299999999999998E-2</v>
      </c>
      <c r="D98" s="111" t="s">
        <v>275</v>
      </c>
      <c r="E98" s="96"/>
      <c r="F98" s="96"/>
      <c r="G98" s="96">
        <f>Emprunts!V8</f>
        <v>308928.84723423043</v>
      </c>
      <c r="H98" s="96">
        <f>Emprunts!X8</f>
        <v>262584.23018713825</v>
      </c>
    </row>
    <row r="99" spans="2:8" outlineLevel="1" x14ac:dyDescent="0.25">
      <c r="D99" s="111" t="s">
        <v>219</v>
      </c>
      <c r="E99" s="96">
        <v>2355</v>
      </c>
      <c r="F99" s="96">
        <v>9585</v>
      </c>
      <c r="G99" s="96"/>
      <c r="H99" s="96"/>
    </row>
    <row r="100" spans="2:8" outlineLevel="1" x14ac:dyDescent="0.25">
      <c r="D100" s="111" t="s">
        <v>220</v>
      </c>
      <c r="E100" s="96">
        <v>22918</v>
      </c>
      <c r="F100" s="96">
        <v>24287</v>
      </c>
      <c r="G100" s="96"/>
      <c r="H100" s="96"/>
    </row>
    <row r="101" spans="2:8" outlineLevel="1" x14ac:dyDescent="0.25">
      <c r="D101" s="111" t="s">
        <v>294</v>
      </c>
      <c r="E101" s="96"/>
      <c r="F101" s="96"/>
      <c r="G101" s="96"/>
      <c r="H101" s="96"/>
    </row>
    <row r="102" spans="2:8" outlineLevel="1" x14ac:dyDescent="0.25">
      <c r="D102" s="111" t="s">
        <v>214</v>
      </c>
      <c r="E102" s="96">
        <v>132554</v>
      </c>
      <c r="F102" s="96">
        <v>255743</v>
      </c>
      <c r="G102" s="96"/>
      <c r="H102" s="96"/>
    </row>
    <row r="103" spans="2:8" outlineLevel="1" x14ac:dyDescent="0.25">
      <c r="D103" s="111" t="s">
        <v>215</v>
      </c>
      <c r="E103" s="96">
        <v>133554</v>
      </c>
      <c r="F103" s="96">
        <v>256743</v>
      </c>
      <c r="G103" s="96"/>
      <c r="H103" s="96"/>
    </row>
    <row r="104" spans="2:8" outlineLevel="1" x14ac:dyDescent="0.25">
      <c r="D104" s="111" t="s">
        <v>222</v>
      </c>
      <c r="E104" s="96">
        <v>18000</v>
      </c>
      <c r="F104" s="96">
        <v>3912</v>
      </c>
      <c r="G104" s="96"/>
      <c r="H104" s="96"/>
    </row>
    <row r="105" spans="2:8" outlineLevel="1" x14ac:dyDescent="0.25">
      <c r="D105" s="111" t="s">
        <v>224</v>
      </c>
      <c r="E105" s="96">
        <v>254154</v>
      </c>
      <c r="F105" s="96">
        <v>14613</v>
      </c>
      <c r="G105" s="96"/>
      <c r="H105" s="96"/>
    </row>
    <row r="106" spans="2:8" outlineLevel="1" x14ac:dyDescent="0.25">
      <c r="D106" s="111" t="s">
        <v>223</v>
      </c>
      <c r="E106" s="96">
        <v>0</v>
      </c>
      <c r="F106" s="96">
        <v>4625</v>
      </c>
      <c r="G106" s="96"/>
      <c r="H106" s="96"/>
    </row>
    <row r="107" spans="2:8" outlineLevel="1" x14ac:dyDescent="0.25">
      <c r="D107" s="114" t="s">
        <v>225</v>
      </c>
      <c r="E107" s="115">
        <v>0</v>
      </c>
      <c r="F107" s="115">
        <v>1362</v>
      </c>
      <c r="G107" s="115"/>
      <c r="H107" s="115"/>
    </row>
    <row r="109" spans="2:8" collapsed="1" x14ac:dyDescent="0.25">
      <c r="D109" s="92" t="s">
        <v>226</v>
      </c>
      <c r="E109" s="97">
        <f>SUM(E110:E119)</f>
        <v>0</v>
      </c>
      <c r="F109" s="97">
        <f>SUM(F110:F119)</f>
        <v>0</v>
      </c>
      <c r="G109" s="97">
        <f t="shared" ref="G109:H109" si="7">SUM(G110:G119)</f>
        <v>0</v>
      </c>
      <c r="H109" s="97">
        <f t="shared" si="7"/>
        <v>0</v>
      </c>
    </row>
    <row r="110" spans="2:8" x14ac:dyDescent="0.25">
      <c r="D110" s="112" t="s">
        <v>227</v>
      </c>
      <c r="E110" s="113"/>
      <c r="F110" s="113"/>
      <c r="G110" s="113"/>
      <c r="H110" s="113"/>
    </row>
    <row r="111" spans="2:8" hidden="1" outlineLevel="1" x14ac:dyDescent="0.25">
      <c r="D111" s="117" t="str">
        <f>D5</f>
        <v>DEUIL LA BARRE Crèche</v>
      </c>
      <c r="E111" s="118">
        <v>0</v>
      </c>
      <c r="F111" s="119">
        <v>0</v>
      </c>
      <c r="G111" s="119">
        <v>0</v>
      </c>
      <c r="H111" s="119"/>
    </row>
    <row r="112" spans="2:8" hidden="1" outlineLevel="1" x14ac:dyDescent="0.25">
      <c r="D112" s="120" t="str">
        <f t="shared" ref="D112:D120" si="8">D6</f>
        <v>DEUIL LA BARRE Ecole</v>
      </c>
      <c r="E112" s="100">
        <v>0</v>
      </c>
      <c r="F112" s="95">
        <v>0</v>
      </c>
      <c r="G112" s="95">
        <v>0</v>
      </c>
      <c r="H112" s="95"/>
    </row>
    <row r="113" spans="4:8" ht="30" hidden="1" outlineLevel="1" x14ac:dyDescent="0.25">
      <c r="D113" s="120" t="str">
        <f t="shared" si="8"/>
        <v>DEUIL LA BARRE Logements 1 appartement avec terrasse et jardin RDC</v>
      </c>
      <c r="E113" s="100">
        <v>0</v>
      </c>
      <c r="F113" s="95">
        <v>0</v>
      </c>
      <c r="G113" s="95">
        <v>0</v>
      </c>
      <c r="H113" s="95"/>
    </row>
    <row r="114" spans="4:8" hidden="1" outlineLevel="1" x14ac:dyDescent="0.25">
      <c r="D114" s="120" t="str">
        <f t="shared" si="8"/>
        <v>DEUIL LA BARRE Logements 2 appartement RDC</v>
      </c>
      <c r="E114" s="100">
        <v>0</v>
      </c>
      <c r="F114" s="95">
        <v>0</v>
      </c>
      <c r="G114" s="95">
        <v>0</v>
      </c>
      <c r="H114" s="95"/>
    </row>
    <row r="115" spans="4:8" hidden="1" outlineLevel="1" x14ac:dyDescent="0.25">
      <c r="D115" s="120" t="str">
        <f t="shared" si="8"/>
        <v>DEUIL LA BARRE Logements 3 1er étage à droite</v>
      </c>
      <c r="E115" s="100">
        <v>0</v>
      </c>
      <c r="F115" s="95">
        <v>0</v>
      </c>
      <c r="G115" s="95">
        <v>0</v>
      </c>
      <c r="H115" s="95"/>
    </row>
    <row r="116" spans="4:8" hidden="1" outlineLevel="1" x14ac:dyDescent="0.25">
      <c r="D116" s="120" t="str">
        <f t="shared" si="8"/>
        <v>DEUIL LA BARRE Logements 4 1er étage à gauche</v>
      </c>
      <c r="E116" s="100">
        <v>0</v>
      </c>
      <c r="F116" s="95">
        <v>0</v>
      </c>
      <c r="G116" s="95">
        <v>0</v>
      </c>
      <c r="H116" s="95"/>
    </row>
    <row r="117" spans="4:8" hidden="1" outlineLevel="1" x14ac:dyDescent="0.25">
      <c r="D117" s="120" t="str">
        <f t="shared" si="8"/>
        <v>Location 7</v>
      </c>
      <c r="E117" s="100">
        <v>0</v>
      </c>
      <c r="F117" s="95">
        <v>0</v>
      </c>
      <c r="G117" s="95">
        <v>0</v>
      </c>
      <c r="H117" s="95"/>
    </row>
    <row r="118" spans="4:8" hidden="1" outlineLevel="1" x14ac:dyDescent="0.25">
      <c r="D118" s="120" t="str">
        <f t="shared" si="8"/>
        <v>Location 8</v>
      </c>
      <c r="E118" s="100">
        <v>0</v>
      </c>
      <c r="F118" s="95">
        <v>0</v>
      </c>
      <c r="G118" s="95">
        <v>0</v>
      </c>
      <c r="H118" s="95"/>
    </row>
    <row r="119" spans="4:8" hidden="1" outlineLevel="1" x14ac:dyDescent="0.25">
      <c r="D119" s="120" t="str">
        <f t="shared" si="8"/>
        <v>Location 9</v>
      </c>
      <c r="E119" s="100">
        <v>0</v>
      </c>
      <c r="F119" s="95">
        <v>0</v>
      </c>
      <c r="G119" s="95">
        <v>0</v>
      </c>
      <c r="H119" s="95"/>
    </row>
    <row r="120" spans="4:8" hidden="1" outlineLevel="1" x14ac:dyDescent="0.25">
      <c r="D120" s="120" t="str">
        <f t="shared" si="8"/>
        <v>Location 10</v>
      </c>
      <c r="E120" s="100">
        <v>0</v>
      </c>
      <c r="F120" s="95">
        <v>0</v>
      </c>
      <c r="G120" s="95">
        <v>0</v>
      </c>
      <c r="H120" s="95"/>
    </row>
    <row r="121" spans="4:8" collapsed="1" x14ac:dyDescent="0.25">
      <c r="D121" s="112" t="s">
        <v>228</v>
      </c>
      <c r="E121" s="113"/>
      <c r="F121" s="113"/>
      <c r="G121" s="113"/>
      <c r="H121" s="113"/>
    </row>
    <row r="122" spans="4:8" hidden="1" outlineLevel="1" x14ac:dyDescent="0.25">
      <c r="D122" s="120" t="str">
        <f>D5</f>
        <v>DEUIL LA BARRE Crèche</v>
      </c>
      <c r="E122" s="100">
        <v>0</v>
      </c>
      <c r="F122" s="95">
        <v>0</v>
      </c>
      <c r="G122" s="95">
        <v>0</v>
      </c>
      <c r="H122" s="95"/>
    </row>
    <row r="123" spans="4:8" hidden="1" outlineLevel="1" x14ac:dyDescent="0.25">
      <c r="D123" s="120" t="str">
        <f t="shared" ref="D123:D131" si="9">D6</f>
        <v>DEUIL LA BARRE Ecole</v>
      </c>
      <c r="E123" s="100">
        <v>0</v>
      </c>
      <c r="F123" s="95">
        <v>0</v>
      </c>
      <c r="G123" s="95">
        <v>0</v>
      </c>
      <c r="H123" s="95"/>
    </row>
    <row r="124" spans="4:8" ht="30" hidden="1" outlineLevel="1" x14ac:dyDescent="0.25">
      <c r="D124" s="120" t="str">
        <f t="shared" si="9"/>
        <v>DEUIL LA BARRE Logements 1 appartement avec terrasse et jardin RDC</v>
      </c>
      <c r="E124" s="100">
        <v>0</v>
      </c>
      <c r="F124" s="95">
        <v>0</v>
      </c>
      <c r="G124" s="95">
        <v>0</v>
      </c>
      <c r="H124" s="95"/>
    </row>
    <row r="125" spans="4:8" hidden="1" outlineLevel="1" x14ac:dyDescent="0.25">
      <c r="D125" s="120" t="str">
        <f t="shared" si="9"/>
        <v>DEUIL LA BARRE Logements 2 appartement RDC</v>
      </c>
      <c r="E125" s="100">
        <v>0</v>
      </c>
      <c r="F125" s="95">
        <v>0</v>
      </c>
      <c r="G125" s="95">
        <v>0</v>
      </c>
      <c r="H125" s="95"/>
    </row>
    <row r="126" spans="4:8" hidden="1" outlineLevel="1" x14ac:dyDescent="0.25">
      <c r="D126" s="120" t="str">
        <f t="shared" si="9"/>
        <v>DEUIL LA BARRE Logements 3 1er étage à droite</v>
      </c>
      <c r="E126" s="100">
        <v>0</v>
      </c>
      <c r="F126" s="95">
        <v>0</v>
      </c>
      <c r="G126" s="95">
        <v>0</v>
      </c>
      <c r="H126" s="95"/>
    </row>
    <row r="127" spans="4:8" hidden="1" outlineLevel="1" x14ac:dyDescent="0.25">
      <c r="D127" s="120" t="str">
        <f t="shared" si="9"/>
        <v>DEUIL LA BARRE Logements 4 1er étage à gauche</v>
      </c>
      <c r="E127" s="100">
        <v>0</v>
      </c>
      <c r="F127" s="95">
        <v>0</v>
      </c>
      <c r="G127" s="95">
        <v>0</v>
      </c>
      <c r="H127" s="95"/>
    </row>
    <row r="128" spans="4:8" hidden="1" outlineLevel="1" x14ac:dyDescent="0.25">
      <c r="D128" s="120" t="str">
        <f t="shared" si="9"/>
        <v>Location 7</v>
      </c>
      <c r="E128" s="100">
        <v>0</v>
      </c>
      <c r="F128" s="95">
        <v>0</v>
      </c>
      <c r="G128" s="95">
        <v>0</v>
      </c>
      <c r="H128" s="95"/>
    </row>
    <row r="129" spans="4:8" hidden="1" outlineLevel="1" x14ac:dyDescent="0.25">
      <c r="D129" s="120" t="str">
        <f t="shared" si="9"/>
        <v>Location 8</v>
      </c>
      <c r="E129" s="100">
        <v>0</v>
      </c>
      <c r="F129" s="95">
        <v>0</v>
      </c>
      <c r="G129" s="95">
        <v>0</v>
      </c>
      <c r="H129" s="95"/>
    </row>
    <row r="130" spans="4:8" hidden="1" outlineLevel="1" x14ac:dyDescent="0.25">
      <c r="D130" s="120" t="str">
        <f t="shared" si="9"/>
        <v>Location 9</v>
      </c>
      <c r="E130" s="100">
        <v>0</v>
      </c>
      <c r="F130" s="95">
        <v>0</v>
      </c>
      <c r="G130" s="95">
        <v>0</v>
      </c>
      <c r="H130" s="95"/>
    </row>
    <row r="131" spans="4:8" hidden="1" outlineLevel="1" x14ac:dyDescent="0.25">
      <c r="D131" s="121" t="str">
        <f t="shared" si="9"/>
        <v>Location 10</v>
      </c>
      <c r="E131" s="122">
        <v>0</v>
      </c>
      <c r="F131" s="123">
        <v>0</v>
      </c>
      <c r="G131" s="123">
        <v>0</v>
      </c>
      <c r="H131" s="123"/>
    </row>
    <row r="132" spans="4:8" collapsed="1" x14ac:dyDescent="0.25">
      <c r="D132" s="116"/>
    </row>
    <row r="133" spans="4:8" x14ac:dyDescent="0.25">
      <c r="D133" s="116"/>
    </row>
    <row r="134" spans="4:8" x14ac:dyDescent="0.25">
      <c r="D134" s="116"/>
    </row>
  </sheetData>
  <mergeCells count="2">
    <mergeCell ref="D29:D30"/>
    <mergeCell ref="A1:C1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6D1F-1AE3-4B02-B197-70A6F280D279}">
  <dimension ref="A1:I134"/>
  <sheetViews>
    <sheetView topLeftCell="A31" zoomScale="90" zoomScaleNormal="90" workbookViewId="0">
      <selection activeCell="G96" sqref="G96:G97"/>
    </sheetView>
  </sheetViews>
  <sheetFormatPr baseColWidth="10" defaultRowHeight="15" outlineLevelRow="1" x14ac:dyDescent="0.25"/>
  <cols>
    <col min="3" max="3" width="14" customWidth="1"/>
    <col min="4" max="4" width="67" customWidth="1"/>
    <col min="5" max="8" width="17.28515625" customWidth="1"/>
  </cols>
  <sheetData>
    <row r="1" spans="1:8" x14ac:dyDescent="0.25">
      <c r="A1" s="170" t="s">
        <v>284</v>
      </c>
      <c r="B1" s="170"/>
      <c r="C1" s="170"/>
    </row>
    <row r="4" spans="1:8" x14ac:dyDescent="0.25">
      <c r="C4" s="93" t="s">
        <v>199</v>
      </c>
      <c r="D4" s="93" t="s">
        <v>197</v>
      </c>
      <c r="E4" s="102">
        <v>2023</v>
      </c>
      <c r="F4" s="107">
        <v>2024</v>
      </c>
      <c r="G4" s="103">
        <v>2025</v>
      </c>
      <c r="H4" s="103">
        <v>2026</v>
      </c>
    </row>
    <row r="5" spans="1:8" x14ac:dyDescent="0.25">
      <c r="C5" s="108"/>
      <c r="D5" s="108" t="str">
        <f>BDD!G10</f>
        <v>Crèche Noisy</v>
      </c>
      <c r="F5" s="108"/>
      <c r="G5" s="104"/>
      <c r="H5" s="161">
        <f>BDD!S10</f>
        <v>31284</v>
      </c>
    </row>
    <row r="6" spans="1:8" x14ac:dyDescent="0.25">
      <c r="C6" s="108"/>
      <c r="D6" s="108" t="str">
        <f>BDD!G11</f>
        <v>Crèche Sceaux</v>
      </c>
      <c r="F6" s="108"/>
      <c r="G6" s="104"/>
      <c r="H6" s="161">
        <f>BDD!S11</f>
        <v>62000</v>
      </c>
    </row>
    <row r="7" spans="1:8" x14ac:dyDescent="0.25">
      <c r="C7" s="108"/>
      <c r="D7" s="108" t="s">
        <v>285</v>
      </c>
      <c r="F7" s="108"/>
      <c r="G7" s="104"/>
      <c r="H7" s="161"/>
    </row>
    <row r="8" spans="1:8" x14ac:dyDescent="0.25">
      <c r="C8" s="108"/>
      <c r="D8" s="108" t="s">
        <v>286</v>
      </c>
      <c r="F8" s="108"/>
      <c r="G8" s="104"/>
      <c r="H8" s="161"/>
    </row>
    <row r="9" spans="1:8" x14ac:dyDescent="0.25">
      <c r="C9" s="108"/>
      <c r="D9" s="108" t="s">
        <v>287</v>
      </c>
      <c r="F9" s="108"/>
      <c r="G9" s="104"/>
      <c r="H9" s="161"/>
    </row>
    <row r="10" spans="1:8" x14ac:dyDescent="0.25">
      <c r="C10" s="108"/>
      <c r="D10" s="108" t="s">
        <v>288</v>
      </c>
      <c r="F10" s="108"/>
      <c r="G10" s="104"/>
      <c r="H10" s="161"/>
    </row>
    <row r="11" spans="1:8" outlineLevel="1" x14ac:dyDescent="0.25">
      <c r="C11" s="108"/>
      <c r="D11" s="108" t="s">
        <v>193</v>
      </c>
      <c r="F11" s="108"/>
      <c r="G11" s="104"/>
      <c r="H11" s="161"/>
    </row>
    <row r="12" spans="1:8" outlineLevel="1" x14ac:dyDescent="0.25">
      <c r="C12" s="108"/>
      <c r="D12" s="108" t="s">
        <v>194</v>
      </c>
      <c r="F12" s="108"/>
      <c r="G12" s="104"/>
      <c r="H12" s="104"/>
    </row>
    <row r="13" spans="1:8" outlineLevel="1" x14ac:dyDescent="0.25">
      <c r="C13" s="108"/>
      <c r="D13" s="108" t="s">
        <v>195</v>
      </c>
      <c r="F13" s="108"/>
      <c r="G13" s="104"/>
      <c r="H13" s="104"/>
    </row>
    <row r="14" spans="1:8" outlineLevel="1" x14ac:dyDescent="0.25">
      <c r="C14" s="109"/>
      <c r="D14" s="109" t="s">
        <v>196</v>
      </c>
      <c r="E14" s="105"/>
      <c r="F14" s="109"/>
      <c r="G14" s="106"/>
      <c r="H14" s="106"/>
    </row>
    <row r="16" spans="1:8" x14ac:dyDescent="0.25">
      <c r="D16" s="93" t="s">
        <v>198</v>
      </c>
      <c r="E16" s="107">
        <v>2023</v>
      </c>
      <c r="F16" s="107">
        <v>2024</v>
      </c>
      <c r="G16" s="107">
        <v>2025</v>
      </c>
      <c r="H16" s="107">
        <v>2026</v>
      </c>
    </row>
    <row r="17" spans="4:9" x14ac:dyDescent="0.25">
      <c r="D17" s="108" t="str">
        <f>D5</f>
        <v>Crèche Noisy</v>
      </c>
      <c r="E17" s="108"/>
      <c r="F17" s="108"/>
      <c r="G17" s="108"/>
      <c r="H17" s="108"/>
    </row>
    <row r="18" spans="4:9" x14ac:dyDescent="0.25">
      <c r="D18" s="108" t="str">
        <f t="shared" ref="D18:D26" si="0">D6</f>
        <v>Crèche Sceaux</v>
      </c>
      <c r="E18" s="108"/>
      <c r="F18" s="108"/>
      <c r="G18" s="108"/>
      <c r="H18" s="108"/>
    </row>
    <row r="19" spans="4:9" x14ac:dyDescent="0.25">
      <c r="D19" s="108" t="str">
        <f t="shared" si="0"/>
        <v>Location 3</v>
      </c>
      <c r="E19" s="108"/>
      <c r="F19" s="108"/>
      <c r="G19" s="108"/>
      <c r="H19" s="108"/>
    </row>
    <row r="20" spans="4:9" x14ac:dyDescent="0.25">
      <c r="D20" s="108" t="str">
        <f t="shared" si="0"/>
        <v>Location 4</v>
      </c>
      <c r="E20" s="108"/>
      <c r="F20" s="108"/>
      <c r="G20" s="108"/>
      <c r="H20" s="108"/>
    </row>
    <row r="21" spans="4:9" x14ac:dyDescent="0.25">
      <c r="D21" s="108" t="str">
        <f t="shared" si="0"/>
        <v>Location 5</v>
      </c>
      <c r="E21" s="108"/>
      <c r="F21" s="108"/>
      <c r="G21" s="108"/>
      <c r="H21" s="108"/>
    </row>
    <row r="22" spans="4:9" x14ac:dyDescent="0.25">
      <c r="D22" s="108" t="str">
        <f t="shared" si="0"/>
        <v>Location 6</v>
      </c>
      <c r="E22" s="108"/>
      <c r="F22" s="108"/>
      <c r="G22" s="108"/>
      <c r="H22" s="108"/>
    </row>
    <row r="23" spans="4:9" outlineLevel="1" x14ac:dyDescent="0.25">
      <c r="D23" s="108" t="str">
        <f t="shared" si="0"/>
        <v>Location 7</v>
      </c>
      <c r="E23" s="108"/>
      <c r="F23" s="108"/>
      <c r="G23" s="108"/>
      <c r="H23" s="108"/>
    </row>
    <row r="24" spans="4:9" outlineLevel="1" x14ac:dyDescent="0.25">
      <c r="D24" s="108" t="str">
        <f t="shared" si="0"/>
        <v>Location 8</v>
      </c>
      <c r="E24" s="108"/>
      <c r="F24" s="108"/>
      <c r="G24" s="108"/>
      <c r="H24" s="108"/>
    </row>
    <row r="25" spans="4:9" outlineLevel="1" x14ac:dyDescent="0.25">
      <c r="D25" s="108" t="str">
        <f t="shared" si="0"/>
        <v>Location 9</v>
      </c>
      <c r="E25" s="108"/>
      <c r="F25" s="108"/>
      <c r="G25" s="108"/>
      <c r="H25" s="108"/>
    </row>
    <row r="26" spans="4:9" outlineLevel="1" x14ac:dyDescent="0.25">
      <c r="D26" s="109" t="str">
        <f t="shared" si="0"/>
        <v>Location 10</v>
      </c>
      <c r="E26" s="109"/>
      <c r="F26" s="109"/>
      <c r="G26" s="109"/>
      <c r="H26" s="109"/>
    </row>
    <row r="29" spans="4:9" x14ac:dyDescent="0.25">
      <c r="D29" s="171"/>
      <c r="E29" s="110">
        <v>2023</v>
      </c>
      <c r="F29" s="110">
        <v>2024</v>
      </c>
      <c r="G29" s="110">
        <v>2025</v>
      </c>
      <c r="H29" s="110">
        <v>2026</v>
      </c>
    </row>
    <row r="30" spans="4:9" x14ac:dyDescent="0.25">
      <c r="D30" s="172"/>
    </row>
    <row r="31" spans="4:9" ht="15" customHeight="1" x14ac:dyDescent="0.25">
      <c r="D31" s="93" t="s">
        <v>156</v>
      </c>
      <c r="E31" s="99">
        <f>SUM(E32:E35)</f>
        <v>143563</v>
      </c>
      <c r="F31" s="94">
        <f>SUM(F32:F35)</f>
        <v>172786</v>
      </c>
      <c r="G31" s="94">
        <f>SUM(G32:G35)</f>
        <v>156065</v>
      </c>
      <c r="H31" s="94">
        <f>SUM(H32:H35)</f>
        <v>159186.29999999999</v>
      </c>
    </row>
    <row r="32" spans="4:9" outlineLevel="1" x14ac:dyDescent="0.25">
      <c r="D32" s="86" t="s">
        <v>295</v>
      </c>
      <c r="E32" s="100">
        <f>34794+66410</f>
        <v>101204</v>
      </c>
      <c r="F32" s="95">
        <f>36907+68733</f>
        <v>105640</v>
      </c>
      <c r="G32" s="95">
        <v>108938</v>
      </c>
      <c r="H32" s="95">
        <f>G32*(1+I32)</f>
        <v>111116.76</v>
      </c>
      <c r="I32" s="162">
        <v>0.02</v>
      </c>
    </row>
    <row r="33" spans="4:9" outlineLevel="1" x14ac:dyDescent="0.25">
      <c r="D33" s="85" t="s">
        <v>157</v>
      </c>
      <c r="E33" s="100"/>
      <c r="F33" s="95"/>
      <c r="G33" s="95"/>
      <c r="H33" s="95">
        <f>G33*(1+I33)</f>
        <v>0</v>
      </c>
      <c r="I33" s="162">
        <v>0.02</v>
      </c>
    </row>
    <row r="34" spans="4:9" outlineLevel="1" x14ac:dyDescent="0.25">
      <c r="D34" s="86" t="s">
        <v>299</v>
      </c>
      <c r="E34" s="100">
        <f>19253+23106</f>
        <v>42359</v>
      </c>
      <c r="F34" s="95">
        <f>28552+38594</f>
        <v>67146</v>
      </c>
      <c r="G34" s="95">
        <v>47127</v>
      </c>
      <c r="H34" s="95">
        <f>G34*(1+I34)</f>
        <v>48069.54</v>
      </c>
      <c r="I34" s="162">
        <v>0.02</v>
      </c>
    </row>
    <row r="35" spans="4:9" outlineLevel="1" x14ac:dyDescent="0.25">
      <c r="D35" s="87" t="s">
        <v>154</v>
      </c>
      <c r="E35" s="100"/>
      <c r="F35" s="95"/>
      <c r="G35" s="95"/>
      <c r="H35" s="95">
        <f>G35*(1+I35)</f>
        <v>0</v>
      </c>
      <c r="I35" s="162">
        <v>0.02</v>
      </c>
    </row>
    <row r="36" spans="4:9" x14ac:dyDescent="0.25">
      <c r="D36" s="90" t="s">
        <v>158</v>
      </c>
      <c r="E36" s="98">
        <f>E37</f>
        <v>0</v>
      </c>
      <c r="F36" s="96">
        <f>F37</f>
        <v>174</v>
      </c>
      <c r="G36" s="96">
        <f>G37</f>
        <v>0</v>
      </c>
      <c r="H36" s="96">
        <f>H37</f>
        <v>0</v>
      </c>
      <c r="I36" s="162"/>
    </row>
    <row r="37" spans="4:9" outlineLevel="1" x14ac:dyDescent="0.25">
      <c r="D37" s="101" t="s">
        <v>159</v>
      </c>
      <c r="E37" s="100">
        <v>0</v>
      </c>
      <c r="F37" s="95">
        <v>174</v>
      </c>
      <c r="G37" s="95">
        <v>0</v>
      </c>
      <c r="H37" s="95"/>
      <c r="I37" s="162"/>
    </row>
    <row r="38" spans="4:9" x14ac:dyDescent="0.25">
      <c r="D38" s="92" t="s">
        <v>155</v>
      </c>
      <c r="E38" s="94">
        <f>E37+E31</f>
        <v>143563</v>
      </c>
      <c r="F38" s="94">
        <f>F37+F31</f>
        <v>172960</v>
      </c>
      <c r="G38" s="94">
        <f>G37+G31</f>
        <v>156065</v>
      </c>
      <c r="H38" s="94">
        <f>H37+H31</f>
        <v>159186.29999999999</v>
      </c>
      <c r="I38" s="162"/>
    </row>
    <row r="39" spans="4:9" x14ac:dyDescent="0.25">
      <c r="D39" s="90" t="s">
        <v>160</v>
      </c>
      <c r="E39" s="96">
        <f>SUM(E40:E54)</f>
        <v>45453</v>
      </c>
      <c r="F39" s="96">
        <f>SUM(F40:F54)</f>
        <v>41674</v>
      </c>
      <c r="G39" s="96">
        <f>SUM(G40:G54)</f>
        <v>44201.7</v>
      </c>
      <c r="H39" s="96">
        <f>SUM(H40:H54)</f>
        <v>44839.778000000006</v>
      </c>
      <c r="I39" s="162"/>
    </row>
    <row r="40" spans="4:9" outlineLevel="1" x14ac:dyDescent="0.25">
      <c r="D40" s="85" t="s">
        <v>161</v>
      </c>
      <c r="E40" s="95"/>
      <c r="F40" s="95"/>
      <c r="G40" s="95"/>
      <c r="H40" s="95"/>
      <c r="I40" s="162">
        <v>0.02</v>
      </c>
    </row>
    <row r="41" spans="4:9" outlineLevel="1" x14ac:dyDescent="0.25">
      <c r="D41" s="85" t="s">
        <v>162</v>
      </c>
      <c r="E41" s="95"/>
      <c r="F41" s="95"/>
      <c r="G41" s="95"/>
      <c r="H41" s="95"/>
      <c r="I41" s="162">
        <v>0.02</v>
      </c>
    </row>
    <row r="42" spans="4:9" outlineLevel="1" x14ac:dyDescent="0.25">
      <c r="D42" s="85" t="s">
        <v>163</v>
      </c>
      <c r="E42" s="95"/>
      <c r="F42" s="95"/>
      <c r="G42" s="95"/>
      <c r="H42" s="95"/>
      <c r="I42" s="162">
        <v>0.02</v>
      </c>
    </row>
    <row r="43" spans="4:9" outlineLevel="1" x14ac:dyDescent="0.25">
      <c r="D43" s="85" t="s">
        <v>164</v>
      </c>
      <c r="E43" s="95"/>
      <c r="F43" s="95"/>
      <c r="G43" s="95"/>
      <c r="H43" s="95"/>
      <c r="I43" s="162">
        <v>0.02</v>
      </c>
    </row>
    <row r="44" spans="4:9" outlineLevel="1" x14ac:dyDescent="0.25">
      <c r="D44" s="85" t="s">
        <v>165</v>
      </c>
      <c r="E44" s="95">
        <f>15587+19891</f>
        <v>35478</v>
      </c>
      <c r="F44" s="95">
        <f>11387+22813</f>
        <v>34200</v>
      </c>
      <c r="G44" s="95">
        <v>36665</v>
      </c>
      <c r="H44" s="95">
        <f>G44*(1+I44)</f>
        <v>37398.300000000003</v>
      </c>
      <c r="I44" s="162">
        <v>0.02</v>
      </c>
    </row>
    <row r="45" spans="4:9" outlineLevel="1" x14ac:dyDescent="0.25">
      <c r="D45" s="85" t="s">
        <v>166</v>
      </c>
      <c r="E45" s="95">
        <f>2630+3877</f>
        <v>6507</v>
      </c>
      <c r="F45" s="95">
        <f>3159-1159</f>
        <v>2000</v>
      </c>
      <c r="G45" s="95">
        <v>4602.7</v>
      </c>
      <c r="H45" s="95">
        <f t="shared" ref="H45:H47" si="1">AVERAGE(E45:G45)*(1+I45)</f>
        <v>4457.2980000000007</v>
      </c>
      <c r="I45" s="162">
        <v>0.02</v>
      </c>
    </row>
    <row r="46" spans="4:9" outlineLevel="1" x14ac:dyDescent="0.25">
      <c r="D46" s="85" t="s">
        <v>167</v>
      </c>
      <c r="E46" s="95"/>
      <c r="F46" s="95"/>
      <c r="G46" s="95"/>
      <c r="H46" s="95"/>
      <c r="I46" s="162">
        <v>0.02</v>
      </c>
    </row>
    <row r="47" spans="4:9" outlineLevel="1" x14ac:dyDescent="0.25">
      <c r="D47" s="85" t="s">
        <v>168</v>
      </c>
      <c r="E47" s="95">
        <f>98+705</f>
        <v>803</v>
      </c>
      <c r="F47" s="95">
        <f>37+761</f>
        <v>798</v>
      </c>
      <c r="G47" s="95">
        <v>860</v>
      </c>
      <c r="H47" s="95">
        <f t="shared" si="1"/>
        <v>836.74</v>
      </c>
      <c r="I47" s="162">
        <v>0.02</v>
      </c>
    </row>
    <row r="48" spans="4:9" outlineLevel="1" x14ac:dyDescent="0.25">
      <c r="D48" s="85" t="s">
        <v>169</v>
      </c>
      <c r="E48" s="95"/>
      <c r="F48" s="95"/>
      <c r="G48" s="95"/>
      <c r="H48" s="95"/>
      <c r="I48" s="162">
        <v>0.02</v>
      </c>
    </row>
    <row r="49" spans="4:9" outlineLevel="1" x14ac:dyDescent="0.25">
      <c r="D49" s="85" t="s">
        <v>170</v>
      </c>
      <c r="E49" s="95">
        <v>1576</v>
      </c>
      <c r="F49" s="95">
        <v>1607</v>
      </c>
      <c r="G49" s="95">
        <v>1498</v>
      </c>
      <c r="H49" s="95">
        <f>G49*(1+I49)</f>
        <v>1527.96</v>
      </c>
      <c r="I49" s="162">
        <v>0.02</v>
      </c>
    </row>
    <row r="50" spans="4:9" outlineLevel="1" x14ac:dyDescent="0.25">
      <c r="D50" s="85" t="s">
        <v>171</v>
      </c>
      <c r="E50" s="95">
        <v>692</v>
      </c>
      <c r="F50" s="95">
        <v>299</v>
      </c>
      <c r="G50" s="95">
        <v>247</v>
      </c>
      <c r="H50" s="95">
        <f>G50*(1+I50)</f>
        <v>251.94</v>
      </c>
      <c r="I50" s="162">
        <v>0.02</v>
      </c>
    </row>
    <row r="51" spans="4:9" outlineLevel="1" x14ac:dyDescent="0.25">
      <c r="D51" s="85" t="s">
        <v>172</v>
      </c>
      <c r="E51" s="95"/>
      <c r="F51" s="95">
        <v>2415</v>
      </c>
      <c r="G51" s="95"/>
      <c r="H51" s="95">
        <f t="shared" ref="H51:H52" si="2">G51*(1+I51)</f>
        <v>0</v>
      </c>
      <c r="I51" s="162">
        <v>0.02</v>
      </c>
    </row>
    <row r="52" spans="4:9" outlineLevel="1" x14ac:dyDescent="0.25">
      <c r="D52" s="85" t="s">
        <v>173</v>
      </c>
      <c r="E52" s="95"/>
      <c r="F52" s="95"/>
      <c r="G52" s="95"/>
      <c r="H52" s="95">
        <f t="shared" si="2"/>
        <v>0</v>
      </c>
      <c r="I52" s="162">
        <v>0.02</v>
      </c>
    </row>
    <row r="53" spans="4:9" outlineLevel="1" x14ac:dyDescent="0.25">
      <c r="D53" s="85" t="s">
        <v>174</v>
      </c>
      <c r="E53" s="95"/>
      <c r="F53" s="95"/>
      <c r="G53" s="95"/>
      <c r="H53" s="95"/>
      <c r="I53" s="162">
        <v>0.02</v>
      </c>
    </row>
    <row r="54" spans="4:9" outlineLevel="1" x14ac:dyDescent="0.25">
      <c r="D54" s="88" t="s">
        <v>175</v>
      </c>
      <c r="E54" s="95">
        <v>397</v>
      </c>
      <c r="F54" s="95">
        <v>355</v>
      </c>
      <c r="G54" s="95">
        <v>329</v>
      </c>
      <c r="H54" s="95">
        <f>AVERAGE(E54:G54)*(1+I54)</f>
        <v>367.53999999999996</v>
      </c>
      <c r="I54" s="162">
        <v>0.02</v>
      </c>
    </row>
    <row r="55" spans="4:9" x14ac:dyDescent="0.25">
      <c r="D55" s="90" t="s">
        <v>176</v>
      </c>
      <c r="E55" s="96">
        <f>E56+E57</f>
        <v>10397</v>
      </c>
      <c r="F55" s="96">
        <f>F56+F57</f>
        <v>10821</v>
      </c>
      <c r="G55" s="96">
        <f>G56+G57</f>
        <v>10940</v>
      </c>
      <c r="H55" s="96">
        <f>H56+H57</f>
        <v>11158.800000000001</v>
      </c>
    </row>
    <row r="56" spans="4:9" outlineLevel="1" x14ac:dyDescent="0.25">
      <c r="D56" s="85" t="s">
        <v>177</v>
      </c>
      <c r="E56" s="95">
        <v>10397</v>
      </c>
      <c r="F56" s="95">
        <v>10821</v>
      </c>
      <c r="G56" s="95">
        <v>10940</v>
      </c>
      <c r="H56" s="95">
        <f>G56*(1+I56)</f>
        <v>11158.800000000001</v>
      </c>
      <c r="I56" s="162">
        <v>0.02</v>
      </c>
    </row>
    <row r="57" spans="4:9" outlineLevel="1" x14ac:dyDescent="0.25">
      <c r="D57" s="88" t="s">
        <v>178</v>
      </c>
      <c r="E57" s="95"/>
      <c r="F57" s="95"/>
      <c r="G57" s="95"/>
      <c r="H57" s="95">
        <f>G57*(1+I57)</f>
        <v>0</v>
      </c>
    </row>
    <row r="58" spans="4:9" x14ac:dyDescent="0.25">
      <c r="D58" s="90" t="s">
        <v>179</v>
      </c>
      <c r="E58" s="96">
        <f>E59</f>
        <v>37085</v>
      </c>
      <c r="F58" s="96">
        <f>F59</f>
        <v>37085</v>
      </c>
      <c r="G58" s="96">
        <f>G59</f>
        <v>37085</v>
      </c>
      <c r="H58" s="96">
        <f>H59</f>
        <v>37085</v>
      </c>
    </row>
    <row r="59" spans="4:9" outlineLevel="1" x14ac:dyDescent="0.25">
      <c r="D59" s="88" t="s">
        <v>180</v>
      </c>
      <c r="E59" s="95">
        <v>37085</v>
      </c>
      <c r="F59" s="95">
        <v>37085</v>
      </c>
      <c r="G59" s="95">
        <v>37085</v>
      </c>
      <c r="H59" s="95">
        <f>G59</f>
        <v>37085</v>
      </c>
    </row>
    <row r="60" spans="4:9" x14ac:dyDescent="0.25">
      <c r="D60" s="90" t="s">
        <v>181</v>
      </c>
      <c r="E60" s="96">
        <f>E61</f>
        <v>0</v>
      </c>
      <c r="F60" s="96">
        <f>F61</f>
        <v>105</v>
      </c>
      <c r="G60" s="96">
        <f>G61</f>
        <v>0</v>
      </c>
      <c r="H60" s="96">
        <f>H61</f>
        <v>0</v>
      </c>
    </row>
    <row r="61" spans="4:9" outlineLevel="1" x14ac:dyDescent="0.25">
      <c r="D61" s="88" t="s">
        <v>182</v>
      </c>
      <c r="E61" s="95"/>
      <c r="F61" s="95">
        <v>105</v>
      </c>
      <c r="G61" s="95"/>
      <c r="H61" s="95"/>
    </row>
    <row r="62" spans="4:9" x14ac:dyDescent="0.25">
      <c r="D62" s="91" t="s">
        <v>186</v>
      </c>
      <c r="E62" s="94">
        <f>E60+E58+E55+E39</f>
        <v>92935</v>
      </c>
      <c r="F62" s="94">
        <f>F60+F58+F55+F39</f>
        <v>89685</v>
      </c>
      <c r="G62" s="94">
        <f>G60+G58+G55+G39</f>
        <v>92226.7</v>
      </c>
      <c r="H62" s="94">
        <f>H60+H58+H55+H39</f>
        <v>93083.578000000009</v>
      </c>
    </row>
    <row r="63" spans="4:9" x14ac:dyDescent="0.25">
      <c r="D63" s="92" t="s">
        <v>187</v>
      </c>
      <c r="E63" s="94">
        <f>E38-E62</f>
        <v>50628</v>
      </c>
      <c r="F63" s="94">
        <f>F38-F62</f>
        <v>83275</v>
      </c>
      <c r="G63" s="94">
        <f>G38-G62</f>
        <v>63838.3</v>
      </c>
      <c r="H63" s="94">
        <f>H38-H62</f>
        <v>66102.72199999998</v>
      </c>
    </row>
    <row r="64" spans="4:9" x14ac:dyDescent="0.25">
      <c r="D64" s="89" t="s">
        <v>183</v>
      </c>
      <c r="E64" s="96">
        <f>E65+E66</f>
        <v>12099</v>
      </c>
      <c r="F64" s="96">
        <f>F65+F66</f>
        <v>10869</v>
      </c>
      <c r="G64" s="96">
        <f>G65+G66</f>
        <v>9161</v>
      </c>
      <c r="H64" s="96">
        <f>H65+H66</f>
        <v>7522.7425060237947</v>
      </c>
    </row>
    <row r="65" spans="4:8" outlineLevel="1" x14ac:dyDescent="0.25">
      <c r="D65" s="85" t="s">
        <v>184</v>
      </c>
      <c r="E65" s="95"/>
      <c r="F65" s="95"/>
      <c r="G65" s="95"/>
      <c r="H65" s="95"/>
    </row>
    <row r="66" spans="4:8" outlineLevel="1" x14ac:dyDescent="0.25">
      <c r="D66" s="88" t="s">
        <v>185</v>
      </c>
      <c r="E66" s="95">
        <v>12099</v>
      </c>
      <c r="F66" s="95">
        <v>10869</v>
      </c>
      <c r="G66" s="95">
        <v>9161</v>
      </c>
      <c r="H66" s="95">
        <f>-Emprunts!BH12</f>
        <v>7522.7425060237947</v>
      </c>
    </row>
    <row r="67" spans="4:8" x14ac:dyDescent="0.25">
      <c r="D67" s="91" t="s">
        <v>188</v>
      </c>
      <c r="E67" s="94">
        <f>E64</f>
        <v>12099</v>
      </c>
      <c r="F67" s="94">
        <f>F64</f>
        <v>10869</v>
      </c>
      <c r="G67" s="94">
        <f>G64</f>
        <v>9161</v>
      </c>
      <c r="H67" s="94">
        <f>H64</f>
        <v>7522.7425060237947</v>
      </c>
    </row>
    <row r="68" spans="4:8" x14ac:dyDescent="0.25">
      <c r="D68" s="92" t="s">
        <v>189</v>
      </c>
      <c r="E68" s="94">
        <f>E67</f>
        <v>12099</v>
      </c>
      <c r="F68" s="94">
        <f>F67</f>
        <v>10869</v>
      </c>
      <c r="G68" s="94">
        <f>G67</f>
        <v>9161</v>
      </c>
      <c r="H68" s="94">
        <f>H67</f>
        <v>7522.7425060237947</v>
      </c>
    </row>
    <row r="69" spans="4:8" x14ac:dyDescent="0.25">
      <c r="D69" s="92" t="s">
        <v>190</v>
      </c>
      <c r="E69" s="97">
        <f>E63-E68</f>
        <v>38529</v>
      </c>
      <c r="F69" s="97">
        <f>F63-F68</f>
        <v>72406</v>
      </c>
      <c r="G69" s="97">
        <f>G63-G68</f>
        <v>54677.3</v>
      </c>
      <c r="H69" s="97">
        <f>H63-H68</f>
        <v>58579.979493976185</v>
      </c>
    </row>
    <row r="70" spans="4:8" outlineLevel="1" x14ac:dyDescent="0.25">
      <c r="D70" s="86" t="s">
        <v>191</v>
      </c>
      <c r="E70" s="95"/>
      <c r="F70" s="95"/>
      <c r="G70" s="95"/>
      <c r="H70" s="95"/>
    </row>
    <row r="71" spans="4:8" x14ac:dyDescent="0.25">
      <c r="D71" s="92" t="s">
        <v>192</v>
      </c>
      <c r="E71" s="97">
        <f>E69-E70</f>
        <v>38529</v>
      </c>
      <c r="F71" s="97">
        <f>F69-F70</f>
        <v>72406</v>
      </c>
      <c r="G71" s="97">
        <f>G69-G70</f>
        <v>54677.3</v>
      </c>
      <c r="H71" s="97">
        <f>H69-H70</f>
        <v>58579.979493976185</v>
      </c>
    </row>
    <row r="73" spans="4:8" collapsed="1" x14ac:dyDescent="0.25">
      <c r="D73" s="92" t="s">
        <v>211</v>
      </c>
      <c r="E73" s="97">
        <f>SUM(E74:E84)</f>
        <v>1030000</v>
      </c>
      <c r="F73" s="97">
        <f>SUM(F74:F84)</f>
        <v>1030000</v>
      </c>
      <c r="G73" s="97">
        <f t="shared" ref="G73:H73" si="3">SUM(G74:G84)</f>
        <v>1030000</v>
      </c>
      <c r="H73" s="97">
        <f t="shared" si="3"/>
        <v>0</v>
      </c>
    </row>
    <row r="74" spans="4:8" outlineLevel="1" x14ac:dyDescent="0.25">
      <c r="D74" s="112" t="s">
        <v>200</v>
      </c>
      <c r="E74" s="113">
        <v>206000</v>
      </c>
      <c r="F74" s="113">
        <v>206000</v>
      </c>
      <c r="G74" s="113">
        <v>206000</v>
      </c>
      <c r="H74" s="113"/>
    </row>
    <row r="75" spans="4:8" outlineLevel="1" x14ac:dyDescent="0.25">
      <c r="D75" s="111" t="s">
        <v>201</v>
      </c>
      <c r="E75" s="96"/>
      <c r="F75" s="96"/>
      <c r="G75" s="96"/>
      <c r="H75" s="96"/>
    </row>
    <row r="76" spans="4:8" outlineLevel="1" x14ac:dyDescent="0.25">
      <c r="D76" s="111" t="s">
        <v>202</v>
      </c>
      <c r="E76" s="96">
        <v>412000</v>
      </c>
      <c r="F76" s="96">
        <v>412000</v>
      </c>
      <c r="G76" s="96">
        <v>412000</v>
      </c>
      <c r="H76" s="96"/>
    </row>
    <row r="77" spans="4:8" outlineLevel="1" x14ac:dyDescent="0.25">
      <c r="D77" s="111" t="s">
        <v>203</v>
      </c>
      <c r="E77" s="96"/>
      <c r="F77" s="96"/>
      <c r="G77" s="96"/>
      <c r="H77" s="96"/>
    </row>
    <row r="78" spans="4:8" outlineLevel="1" x14ac:dyDescent="0.25">
      <c r="D78" s="111" t="s">
        <v>204</v>
      </c>
      <c r="E78" s="96">
        <v>206000</v>
      </c>
      <c r="F78" s="96">
        <v>206000</v>
      </c>
      <c r="G78" s="96">
        <v>206000</v>
      </c>
      <c r="H78" s="96"/>
    </row>
    <row r="79" spans="4:8" outlineLevel="1" x14ac:dyDescent="0.25">
      <c r="D79" s="111" t="s">
        <v>205</v>
      </c>
      <c r="E79" s="96"/>
      <c r="F79" s="96"/>
      <c r="G79" s="96"/>
      <c r="H79" s="96"/>
    </row>
    <row r="80" spans="4:8" outlineLevel="1" x14ac:dyDescent="0.25">
      <c r="D80" s="111" t="s">
        <v>206</v>
      </c>
      <c r="E80" s="96">
        <v>123600</v>
      </c>
      <c r="F80" s="96">
        <v>123600</v>
      </c>
      <c r="G80" s="96">
        <v>123600</v>
      </c>
      <c r="H80" s="96"/>
    </row>
    <row r="81" spans="2:8" outlineLevel="1" x14ac:dyDescent="0.25">
      <c r="D81" s="111" t="s">
        <v>207</v>
      </c>
      <c r="E81" s="96"/>
      <c r="F81" s="96"/>
      <c r="G81" s="96"/>
      <c r="H81" s="96"/>
    </row>
    <row r="82" spans="2:8" outlineLevel="1" x14ac:dyDescent="0.25">
      <c r="D82" s="111" t="s">
        <v>208</v>
      </c>
      <c r="E82" s="96">
        <v>82400</v>
      </c>
      <c r="F82" s="96">
        <v>82400</v>
      </c>
      <c r="G82" s="96">
        <v>82400</v>
      </c>
      <c r="H82" s="96"/>
    </row>
    <row r="83" spans="2:8" outlineLevel="1" x14ac:dyDescent="0.25">
      <c r="D83" s="111" t="s">
        <v>209</v>
      </c>
      <c r="E83" s="96"/>
      <c r="F83" s="96"/>
      <c r="G83" s="96"/>
      <c r="H83" s="96"/>
    </row>
    <row r="84" spans="2:8" outlineLevel="1" x14ac:dyDescent="0.25">
      <c r="D84" s="114" t="s">
        <v>210</v>
      </c>
      <c r="E84" s="115"/>
      <c r="F84" s="115"/>
      <c r="G84" s="115"/>
      <c r="H84" s="115"/>
    </row>
    <row r="86" spans="2:8" collapsed="1" x14ac:dyDescent="0.25">
      <c r="D86" s="92" t="s">
        <v>213</v>
      </c>
      <c r="E86" s="97">
        <f>SUM(E87:E92)</f>
        <v>1020000</v>
      </c>
      <c r="F86" s="97">
        <f>SUM(F87:F92)</f>
        <v>1020000</v>
      </c>
      <c r="G86" s="97">
        <f>SUM(G87:G92)</f>
        <v>1020000</v>
      </c>
      <c r="H86" s="97">
        <f>SUM(H87:H92)</f>
        <v>0</v>
      </c>
    </row>
    <row r="87" spans="2:8" outlineLevel="1" x14ac:dyDescent="0.25">
      <c r="D87" s="112" t="str">
        <f>D96</f>
        <v>EMPRUNT BNP 240k€</v>
      </c>
      <c r="E87" s="113">
        <v>240000</v>
      </c>
      <c r="F87" s="113">
        <v>240000</v>
      </c>
      <c r="G87" s="113">
        <v>240000</v>
      </c>
      <c r="H87" s="113"/>
    </row>
    <row r="88" spans="2:8" outlineLevel="1" x14ac:dyDescent="0.25">
      <c r="D88" s="111" t="str">
        <f>D97</f>
        <v>EMPRUNT SG 780k€</v>
      </c>
      <c r="E88" s="96">
        <v>780000</v>
      </c>
      <c r="F88" s="96">
        <v>780000</v>
      </c>
      <c r="G88" s="96">
        <v>780000</v>
      </c>
      <c r="H88" s="96"/>
    </row>
    <row r="89" spans="2:8" outlineLevel="1" x14ac:dyDescent="0.25">
      <c r="D89" s="111" t="s">
        <v>294</v>
      </c>
      <c r="E89" s="96"/>
      <c r="F89" s="96"/>
      <c r="G89" s="96"/>
      <c r="H89" s="96"/>
    </row>
    <row r="90" spans="2:8" outlineLevel="1" x14ac:dyDescent="0.25">
      <c r="D90" s="111" t="s">
        <v>214</v>
      </c>
      <c r="E90" s="96"/>
      <c r="F90" s="96"/>
      <c r="G90" s="96"/>
      <c r="H90" s="96"/>
    </row>
    <row r="91" spans="2:8" outlineLevel="1" x14ac:dyDescent="0.25">
      <c r="D91" s="111" t="s">
        <v>215</v>
      </c>
      <c r="E91" s="96"/>
      <c r="F91" s="96"/>
      <c r="G91" s="96"/>
      <c r="H91" s="96"/>
    </row>
    <row r="92" spans="2:8" outlineLevel="1" x14ac:dyDescent="0.25">
      <c r="D92" s="114" t="s">
        <v>216</v>
      </c>
      <c r="E92" s="115"/>
      <c r="F92" s="115"/>
      <c r="G92" s="115"/>
      <c r="H92" s="115"/>
    </row>
    <row r="95" spans="2:8" collapsed="1" x14ac:dyDescent="0.25">
      <c r="B95" s="158" t="s">
        <v>278</v>
      </c>
      <c r="C95" s="158" t="s">
        <v>277</v>
      </c>
      <c r="D95" s="92" t="s">
        <v>221</v>
      </c>
      <c r="E95" s="97">
        <f>SUM(E96:E107)</f>
        <v>741152</v>
      </c>
      <c r="F95" s="97">
        <f>SUM(F96:F107)</f>
        <v>647705</v>
      </c>
      <c r="G95" s="97">
        <f t="shared" ref="G95:H95" si="4">SUM(G96:G107)</f>
        <v>610620</v>
      </c>
      <c r="H95" s="97">
        <f t="shared" si="4"/>
        <v>0</v>
      </c>
    </row>
    <row r="96" spans="2:8" outlineLevel="1" x14ac:dyDescent="0.25">
      <c r="B96">
        <v>2026</v>
      </c>
      <c r="C96" s="159">
        <v>0.01</v>
      </c>
      <c r="D96" s="112" t="s">
        <v>292</v>
      </c>
      <c r="E96" s="113">
        <v>67820</v>
      </c>
      <c r="F96" s="113">
        <v>36518</v>
      </c>
      <c r="G96" s="113">
        <v>5217</v>
      </c>
      <c r="H96" s="113"/>
    </row>
    <row r="97" spans="2:8" outlineLevel="1" x14ac:dyDescent="0.25">
      <c r="B97">
        <v>2033</v>
      </c>
      <c r="C97" s="159">
        <v>1.89E-2</v>
      </c>
      <c r="D97" s="111" t="s">
        <v>293</v>
      </c>
      <c r="E97" s="96">
        <v>523449</v>
      </c>
      <c r="F97" s="96">
        <v>473148</v>
      </c>
      <c r="G97" s="96">
        <v>421888</v>
      </c>
      <c r="H97" s="96"/>
    </row>
    <row r="98" spans="2:8" outlineLevel="1" x14ac:dyDescent="0.25">
      <c r="C98" s="159"/>
      <c r="D98" s="111" t="s">
        <v>291</v>
      </c>
      <c r="E98" s="96"/>
      <c r="F98" s="96"/>
      <c r="G98" s="96"/>
      <c r="H98" s="96"/>
    </row>
    <row r="99" spans="2:8" outlineLevel="1" x14ac:dyDescent="0.25">
      <c r="D99" s="111" t="s">
        <v>219</v>
      </c>
      <c r="E99" s="96"/>
      <c r="F99" s="96"/>
      <c r="G99" s="96"/>
      <c r="H99" s="96"/>
    </row>
    <row r="100" spans="2:8" outlineLevel="1" x14ac:dyDescent="0.25">
      <c r="D100" s="111" t="s">
        <v>220</v>
      </c>
      <c r="E100" s="96">
        <v>22749</v>
      </c>
      <c r="F100" s="96">
        <v>23726</v>
      </c>
      <c r="G100" s="96">
        <v>24204</v>
      </c>
      <c r="H100" s="96"/>
    </row>
    <row r="101" spans="2:8" outlineLevel="1" x14ac:dyDescent="0.25">
      <c r="D101" s="111" t="s">
        <v>294</v>
      </c>
      <c r="E101" s="96">
        <v>110829</v>
      </c>
      <c r="F101" s="96">
        <v>109358</v>
      </c>
      <c r="G101" s="96">
        <v>149178</v>
      </c>
      <c r="H101" s="96"/>
    </row>
    <row r="102" spans="2:8" outlineLevel="1" x14ac:dyDescent="0.25">
      <c r="D102" s="111" t="s">
        <v>214</v>
      </c>
      <c r="E102" s="96"/>
      <c r="F102" s="96"/>
      <c r="G102" s="96"/>
      <c r="H102" s="96"/>
    </row>
    <row r="103" spans="2:8" outlineLevel="1" x14ac:dyDescent="0.25">
      <c r="D103" s="111" t="s">
        <v>215</v>
      </c>
      <c r="E103" s="96"/>
      <c r="F103" s="96"/>
      <c r="G103" s="96"/>
      <c r="H103" s="96"/>
    </row>
    <row r="104" spans="2:8" outlineLevel="1" x14ac:dyDescent="0.25">
      <c r="D104" s="111" t="s">
        <v>222</v>
      </c>
      <c r="E104" s="96">
        <v>3000</v>
      </c>
      <c r="F104" s="96"/>
      <c r="G104" s="96">
        <v>9522</v>
      </c>
      <c r="H104" s="96"/>
    </row>
    <row r="105" spans="2:8" outlineLevel="1" x14ac:dyDescent="0.25">
      <c r="D105" s="111" t="s">
        <v>224</v>
      </c>
      <c r="E105" s="96">
        <v>12438</v>
      </c>
      <c r="F105" s="96">
        <v>4227</v>
      </c>
      <c r="G105" s="96"/>
      <c r="H105" s="96"/>
    </row>
    <row r="106" spans="2:8" outlineLevel="1" x14ac:dyDescent="0.25">
      <c r="D106" s="111" t="s">
        <v>223</v>
      </c>
      <c r="E106" s="96"/>
      <c r="F106" s="96"/>
      <c r="G106" s="96"/>
      <c r="H106" s="96"/>
    </row>
    <row r="107" spans="2:8" outlineLevel="1" x14ac:dyDescent="0.25">
      <c r="D107" s="114" t="s">
        <v>225</v>
      </c>
      <c r="E107" s="115">
        <v>867</v>
      </c>
      <c r="F107" s="115">
        <v>728</v>
      </c>
      <c r="G107" s="115">
        <v>611</v>
      </c>
      <c r="H107" s="115"/>
    </row>
    <row r="109" spans="2:8" collapsed="1" x14ac:dyDescent="0.25">
      <c r="D109" s="92" t="s">
        <v>226</v>
      </c>
      <c r="E109" s="97">
        <f>SUM(E110:E119)</f>
        <v>0</v>
      </c>
      <c r="F109" s="97">
        <f>SUM(F110:F119)</f>
        <v>0</v>
      </c>
      <c r="G109" s="97">
        <f t="shared" ref="G109:H109" si="5">SUM(G110:G119)</f>
        <v>0</v>
      </c>
      <c r="H109" s="97">
        <f t="shared" si="5"/>
        <v>0</v>
      </c>
    </row>
    <row r="110" spans="2:8" x14ac:dyDescent="0.25">
      <c r="D110" s="112" t="s">
        <v>227</v>
      </c>
      <c r="E110" s="113"/>
      <c r="F110" s="113"/>
      <c r="G110" s="113"/>
      <c r="H110" s="113"/>
    </row>
    <row r="111" spans="2:8" outlineLevel="1" x14ac:dyDescent="0.25">
      <c r="D111" s="117" t="str">
        <f>D5</f>
        <v>Crèche Noisy</v>
      </c>
      <c r="E111" s="118">
        <v>0</v>
      </c>
      <c r="F111" s="119">
        <v>0</v>
      </c>
      <c r="G111" s="119">
        <v>0</v>
      </c>
      <c r="H111" s="119"/>
    </row>
    <row r="112" spans="2:8" outlineLevel="1" x14ac:dyDescent="0.25">
      <c r="D112" s="120" t="str">
        <f t="shared" ref="D112:D120" si="6">D6</f>
        <v>Crèche Sceaux</v>
      </c>
      <c r="E112" s="100">
        <v>0</v>
      </c>
      <c r="F112" s="95">
        <v>0</v>
      </c>
      <c r="G112" s="95">
        <v>0</v>
      </c>
      <c r="H112" s="95"/>
    </row>
    <row r="113" spans="4:8" outlineLevel="1" x14ac:dyDescent="0.25">
      <c r="D113" s="120" t="str">
        <f t="shared" si="6"/>
        <v>Location 3</v>
      </c>
      <c r="E113" s="100">
        <v>0</v>
      </c>
      <c r="F113" s="95">
        <v>0</v>
      </c>
      <c r="G113" s="95">
        <v>0</v>
      </c>
      <c r="H113" s="95"/>
    </row>
    <row r="114" spans="4:8" outlineLevel="1" x14ac:dyDescent="0.25">
      <c r="D114" s="120" t="str">
        <f t="shared" si="6"/>
        <v>Location 4</v>
      </c>
      <c r="E114" s="100">
        <v>0</v>
      </c>
      <c r="F114" s="95">
        <v>0</v>
      </c>
      <c r="G114" s="95">
        <v>0</v>
      </c>
      <c r="H114" s="95"/>
    </row>
    <row r="115" spans="4:8" outlineLevel="1" x14ac:dyDescent="0.25">
      <c r="D115" s="120" t="str">
        <f t="shared" si="6"/>
        <v>Location 5</v>
      </c>
      <c r="E115" s="100">
        <v>0</v>
      </c>
      <c r="F115" s="95">
        <v>0</v>
      </c>
      <c r="G115" s="95">
        <v>0</v>
      </c>
      <c r="H115" s="95"/>
    </row>
    <row r="116" spans="4:8" outlineLevel="1" x14ac:dyDescent="0.25">
      <c r="D116" s="120" t="str">
        <f t="shared" si="6"/>
        <v>Location 6</v>
      </c>
      <c r="E116" s="100">
        <v>0</v>
      </c>
      <c r="F116" s="95">
        <v>0</v>
      </c>
      <c r="G116" s="95">
        <v>0</v>
      </c>
      <c r="H116" s="95"/>
    </row>
    <row r="117" spans="4:8" outlineLevel="1" x14ac:dyDescent="0.25">
      <c r="D117" s="120" t="str">
        <f t="shared" si="6"/>
        <v>Location 7</v>
      </c>
      <c r="E117" s="100">
        <v>0</v>
      </c>
      <c r="F117" s="95">
        <v>0</v>
      </c>
      <c r="G117" s="95">
        <v>0</v>
      </c>
      <c r="H117" s="95"/>
    </row>
    <row r="118" spans="4:8" outlineLevel="1" x14ac:dyDescent="0.25">
      <c r="D118" s="120" t="str">
        <f t="shared" si="6"/>
        <v>Location 8</v>
      </c>
      <c r="E118" s="100">
        <v>0</v>
      </c>
      <c r="F118" s="95">
        <v>0</v>
      </c>
      <c r="G118" s="95">
        <v>0</v>
      </c>
      <c r="H118" s="95"/>
    </row>
    <row r="119" spans="4:8" outlineLevel="1" x14ac:dyDescent="0.25">
      <c r="D119" s="120" t="str">
        <f t="shared" si="6"/>
        <v>Location 9</v>
      </c>
      <c r="E119" s="100">
        <v>0</v>
      </c>
      <c r="F119" s="95">
        <v>0</v>
      </c>
      <c r="G119" s="95">
        <v>0</v>
      </c>
      <c r="H119" s="95"/>
    </row>
    <row r="120" spans="4:8" outlineLevel="1" x14ac:dyDescent="0.25">
      <c r="D120" s="120" t="str">
        <f t="shared" si="6"/>
        <v>Location 10</v>
      </c>
      <c r="E120" s="100">
        <v>0</v>
      </c>
      <c r="F120" s="95">
        <v>0</v>
      </c>
      <c r="G120" s="95">
        <v>0</v>
      </c>
      <c r="H120" s="95"/>
    </row>
    <row r="121" spans="4:8" x14ac:dyDescent="0.25">
      <c r="D121" s="112" t="s">
        <v>228</v>
      </c>
      <c r="E121" s="113"/>
      <c r="F121" s="113"/>
      <c r="G121" s="113"/>
      <c r="H121" s="113"/>
    </row>
    <row r="122" spans="4:8" outlineLevel="1" x14ac:dyDescent="0.25">
      <c r="D122" s="120" t="str">
        <f>D5</f>
        <v>Crèche Noisy</v>
      </c>
      <c r="E122" s="100">
        <v>0</v>
      </c>
      <c r="F122" s="95">
        <v>0</v>
      </c>
      <c r="G122" s="95">
        <v>0</v>
      </c>
      <c r="H122" s="95"/>
    </row>
    <row r="123" spans="4:8" outlineLevel="1" x14ac:dyDescent="0.25">
      <c r="D123" s="120" t="str">
        <f t="shared" ref="D123:D131" si="7">D6</f>
        <v>Crèche Sceaux</v>
      </c>
      <c r="E123" s="100">
        <v>0</v>
      </c>
      <c r="F123" s="95">
        <v>0</v>
      </c>
      <c r="G123" s="95">
        <v>0</v>
      </c>
      <c r="H123" s="95"/>
    </row>
    <row r="124" spans="4:8" outlineLevel="1" x14ac:dyDescent="0.25">
      <c r="D124" s="120" t="str">
        <f t="shared" si="7"/>
        <v>Location 3</v>
      </c>
      <c r="E124" s="100">
        <v>0</v>
      </c>
      <c r="F124" s="95">
        <v>0</v>
      </c>
      <c r="G124" s="95">
        <v>0</v>
      </c>
      <c r="H124" s="95"/>
    </row>
    <row r="125" spans="4:8" outlineLevel="1" x14ac:dyDescent="0.25">
      <c r="D125" s="120" t="str">
        <f t="shared" si="7"/>
        <v>Location 4</v>
      </c>
      <c r="E125" s="100">
        <v>0</v>
      </c>
      <c r="F125" s="95">
        <v>0</v>
      </c>
      <c r="G125" s="95">
        <v>0</v>
      </c>
      <c r="H125" s="95"/>
    </row>
    <row r="126" spans="4:8" outlineLevel="1" x14ac:dyDescent="0.25">
      <c r="D126" s="120" t="str">
        <f t="shared" si="7"/>
        <v>Location 5</v>
      </c>
      <c r="E126" s="100">
        <v>0</v>
      </c>
      <c r="F126" s="95">
        <v>0</v>
      </c>
      <c r="G126" s="95">
        <v>0</v>
      </c>
      <c r="H126" s="95"/>
    </row>
    <row r="127" spans="4:8" outlineLevel="1" x14ac:dyDescent="0.25">
      <c r="D127" s="120" t="str">
        <f t="shared" si="7"/>
        <v>Location 6</v>
      </c>
      <c r="E127" s="100">
        <v>0</v>
      </c>
      <c r="F127" s="95">
        <v>0</v>
      </c>
      <c r="G127" s="95">
        <v>0</v>
      </c>
      <c r="H127" s="95"/>
    </row>
    <row r="128" spans="4:8" outlineLevel="1" x14ac:dyDescent="0.25">
      <c r="D128" s="120" t="str">
        <f t="shared" si="7"/>
        <v>Location 7</v>
      </c>
      <c r="E128" s="100">
        <v>0</v>
      </c>
      <c r="F128" s="95">
        <v>0</v>
      </c>
      <c r="G128" s="95">
        <v>0</v>
      </c>
      <c r="H128" s="95"/>
    </row>
    <row r="129" spans="4:8" outlineLevel="1" x14ac:dyDescent="0.25">
      <c r="D129" s="120" t="str">
        <f t="shared" si="7"/>
        <v>Location 8</v>
      </c>
      <c r="E129" s="100">
        <v>0</v>
      </c>
      <c r="F129" s="95">
        <v>0</v>
      </c>
      <c r="G129" s="95">
        <v>0</v>
      </c>
      <c r="H129" s="95"/>
    </row>
    <row r="130" spans="4:8" outlineLevel="1" x14ac:dyDescent="0.25">
      <c r="D130" s="120" t="str">
        <f t="shared" si="7"/>
        <v>Location 9</v>
      </c>
      <c r="E130" s="100">
        <v>0</v>
      </c>
      <c r="F130" s="95">
        <v>0</v>
      </c>
      <c r="G130" s="95">
        <v>0</v>
      </c>
      <c r="H130" s="95"/>
    </row>
    <row r="131" spans="4:8" outlineLevel="1" x14ac:dyDescent="0.25">
      <c r="D131" s="121" t="str">
        <f t="shared" si="7"/>
        <v>Location 10</v>
      </c>
      <c r="E131" s="122">
        <v>0</v>
      </c>
      <c r="F131" s="123">
        <v>0</v>
      </c>
      <c r="G131" s="123">
        <v>0</v>
      </c>
      <c r="H131" s="123"/>
    </row>
    <row r="132" spans="4:8" x14ac:dyDescent="0.25">
      <c r="D132" s="116"/>
    </row>
    <row r="133" spans="4:8" x14ac:dyDescent="0.25">
      <c r="D133" s="116"/>
    </row>
    <row r="134" spans="4:8" x14ac:dyDescent="0.25">
      <c r="D134" s="116"/>
    </row>
  </sheetData>
  <mergeCells count="2">
    <mergeCell ref="A1:C1"/>
    <mergeCell ref="D29:D30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63CD-78E9-4A53-8324-EF6F17DE500D}">
  <dimension ref="A1:J134"/>
  <sheetViews>
    <sheetView topLeftCell="A16" zoomScale="90" zoomScaleNormal="90" workbookViewId="0">
      <selection activeCell="G97" sqref="G97"/>
    </sheetView>
  </sheetViews>
  <sheetFormatPr baseColWidth="10" defaultRowHeight="15" outlineLevelRow="1" x14ac:dyDescent="0.25"/>
  <cols>
    <col min="3" max="3" width="14" customWidth="1"/>
    <col min="4" max="4" width="67" customWidth="1"/>
    <col min="5" max="8" width="17.28515625" customWidth="1"/>
  </cols>
  <sheetData>
    <row r="1" spans="1:8" x14ac:dyDescent="0.25">
      <c r="A1" s="170" t="s">
        <v>296</v>
      </c>
      <c r="B1" s="170"/>
      <c r="C1" s="170"/>
    </row>
    <row r="4" spans="1:8" x14ac:dyDescent="0.25">
      <c r="C4" s="93" t="s">
        <v>199</v>
      </c>
      <c r="D4" s="93" t="s">
        <v>197</v>
      </c>
      <c r="E4" s="102">
        <v>2023</v>
      </c>
      <c r="F4" s="107">
        <v>2024</v>
      </c>
      <c r="G4" s="103">
        <v>2025</v>
      </c>
      <c r="H4" s="103">
        <v>2026</v>
      </c>
    </row>
    <row r="5" spans="1:8" x14ac:dyDescent="0.25">
      <c r="C5" s="108"/>
      <c r="D5" s="108" t="str">
        <f>BDD!G12</f>
        <v>Crèche Epone</v>
      </c>
      <c r="F5" s="108"/>
      <c r="G5" s="104"/>
      <c r="H5" s="161">
        <f>BDD!S12</f>
        <v>59090</v>
      </c>
    </row>
    <row r="6" spans="1:8" x14ac:dyDescent="0.25">
      <c r="C6" s="108"/>
      <c r="D6" s="108" t="str">
        <f>BDD!G13</f>
        <v>Crèche Nice</v>
      </c>
      <c r="F6" s="108"/>
      <c r="G6" s="104"/>
      <c r="H6" s="161">
        <f>BDD!S13</f>
        <v>55000</v>
      </c>
    </row>
    <row r="7" spans="1:8" x14ac:dyDescent="0.25">
      <c r="C7" s="108"/>
      <c r="D7" s="108" t="s">
        <v>285</v>
      </c>
      <c r="F7" s="108"/>
      <c r="G7" s="104"/>
      <c r="H7" s="104"/>
    </row>
    <row r="8" spans="1:8" x14ac:dyDescent="0.25">
      <c r="C8" s="108"/>
      <c r="D8" s="108" t="s">
        <v>286</v>
      </c>
      <c r="F8" s="108"/>
      <c r="G8" s="104"/>
      <c r="H8" s="104"/>
    </row>
    <row r="9" spans="1:8" x14ac:dyDescent="0.25">
      <c r="C9" s="108"/>
      <c r="D9" s="108" t="s">
        <v>287</v>
      </c>
      <c r="F9" s="108"/>
      <c r="G9" s="104"/>
      <c r="H9" s="104"/>
    </row>
    <row r="10" spans="1:8" x14ac:dyDescent="0.25">
      <c r="C10" s="108"/>
      <c r="D10" s="108" t="s">
        <v>288</v>
      </c>
      <c r="F10" s="108"/>
      <c r="G10" s="104"/>
      <c r="H10" s="104"/>
    </row>
    <row r="11" spans="1:8" outlineLevel="1" x14ac:dyDescent="0.25">
      <c r="C11" s="108"/>
      <c r="D11" s="108" t="s">
        <v>193</v>
      </c>
      <c r="F11" s="108"/>
      <c r="G11" s="104"/>
      <c r="H11" s="104"/>
    </row>
    <row r="12" spans="1:8" outlineLevel="1" x14ac:dyDescent="0.25">
      <c r="C12" s="108"/>
      <c r="D12" s="108" t="s">
        <v>194</v>
      </c>
      <c r="F12" s="108"/>
      <c r="G12" s="104"/>
      <c r="H12" s="104"/>
    </row>
    <row r="13" spans="1:8" outlineLevel="1" x14ac:dyDescent="0.25">
      <c r="C13" s="108"/>
      <c r="D13" s="108" t="s">
        <v>195</v>
      </c>
      <c r="F13" s="108"/>
      <c r="G13" s="104"/>
      <c r="H13" s="104"/>
    </row>
    <row r="14" spans="1:8" outlineLevel="1" x14ac:dyDescent="0.25">
      <c r="C14" s="109"/>
      <c r="D14" s="109" t="s">
        <v>196</v>
      </c>
      <c r="E14" s="105"/>
      <c r="F14" s="109"/>
      <c r="G14" s="106"/>
      <c r="H14" s="106"/>
    </row>
    <row r="16" spans="1:8" x14ac:dyDescent="0.25">
      <c r="D16" s="93" t="s">
        <v>198</v>
      </c>
      <c r="E16" s="107">
        <v>2023</v>
      </c>
      <c r="F16" s="107">
        <v>2024</v>
      </c>
      <c r="G16" s="107">
        <v>2025</v>
      </c>
      <c r="H16" s="107">
        <v>2026</v>
      </c>
    </row>
    <row r="17" spans="4:10" x14ac:dyDescent="0.25">
      <c r="D17" s="108" t="str">
        <f>D5</f>
        <v>Crèche Epone</v>
      </c>
      <c r="E17" s="108"/>
      <c r="F17" s="108"/>
      <c r="G17" s="108"/>
      <c r="H17" s="108"/>
    </row>
    <row r="18" spans="4:10" x14ac:dyDescent="0.25">
      <c r="D18" s="108" t="str">
        <f t="shared" ref="D18:D26" si="0">D6</f>
        <v>Crèche Nice</v>
      </c>
      <c r="E18" s="108"/>
      <c r="F18" s="108"/>
      <c r="G18" s="108"/>
      <c r="H18" s="108"/>
    </row>
    <row r="19" spans="4:10" x14ac:dyDescent="0.25">
      <c r="D19" s="108" t="str">
        <f t="shared" si="0"/>
        <v>Location 3</v>
      </c>
      <c r="E19" s="108"/>
      <c r="F19" s="108"/>
      <c r="G19" s="108"/>
      <c r="H19" s="108"/>
    </row>
    <row r="20" spans="4:10" x14ac:dyDescent="0.25">
      <c r="D20" s="108" t="str">
        <f t="shared" si="0"/>
        <v>Location 4</v>
      </c>
      <c r="E20" s="108"/>
      <c r="F20" s="108"/>
      <c r="G20" s="108"/>
      <c r="H20" s="108"/>
    </row>
    <row r="21" spans="4:10" x14ac:dyDescent="0.25">
      <c r="D21" s="108" t="str">
        <f t="shared" si="0"/>
        <v>Location 5</v>
      </c>
      <c r="E21" s="108"/>
      <c r="F21" s="108"/>
      <c r="G21" s="108"/>
      <c r="H21" s="108"/>
    </row>
    <row r="22" spans="4:10" x14ac:dyDescent="0.25">
      <c r="D22" s="108" t="str">
        <f t="shared" si="0"/>
        <v>Location 6</v>
      </c>
      <c r="E22" s="108"/>
      <c r="F22" s="108"/>
      <c r="G22" s="108"/>
      <c r="H22" s="108"/>
    </row>
    <row r="23" spans="4:10" outlineLevel="1" x14ac:dyDescent="0.25">
      <c r="D23" s="108" t="str">
        <f t="shared" si="0"/>
        <v>Location 7</v>
      </c>
      <c r="E23" s="108"/>
      <c r="F23" s="108"/>
      <c r="G23" s="108"/>
      <c r="H23" s="108"/>
    </row>
    <row r="24" spans="4:10" outlineLevel="1" x14ac:dyDescent="0.25">
      <c r="D24" s="108" t="str">
        <f t="shared" si="0"/>
        <v>Location 8</v>
      </c>
      <c r="E24" s="108"/>
      <c r="F24" s="108"/>
      <c r="G24" s="108"/>
      <c r="H24" s="108"/>
    </row>
    <row r="25" spans="4:10" outlineLevel="1" x14ac:dyDescent="0.25">
      <c r="D25" s="108" t="str">
        <f t="shared" si="0"/>
        <v>Location 9</v>
      </c>
      <c r="E25" s="108"/>
      <c r="F25" s="108"/>
      <c r="G25" s="108"/>
      <c r="H25" s="108"/>
    </row>
    <row r="26" spans="4:10" outlineLevel="1" x14ac:dyDescent="0.25">
      <c r="D26" s="109" t="str">
        <f t="shared" si="0"/>
        <v>Location 10</v>
      </c>
      <c r="E26" s="109"/>
      <c r="F26" s="109"/>
      <c r="G26" s="109"/>
      <c r="H26" s="109"/>
    </row>
    <row r="28" spans="4:10" x14ac:dyDescent="0.25">
      <c r="G28" s="169" t="s">
        <v>322</v>
      </c>
    </row>
    <row r="29" spans="4:10" x14ac:dyDescent="0.25">
      <c r="D29" s="171"/>
      <c r="E29" s="110">
        <v>2023</v>
      </c>
      <c r="F29" s="110">
        <v>2024</v>
      </c>
      <c r="G29" s="110">
        <v>2025</v>
      </c>
      <c r="H29" s="110">
        <v>2026</v>
      </c>
    </row>
    <row r="30" spans="4:10" x14ac:dyDescent="0.25">
      <c r="D30" s="172"/>
    </row>
    <row r="31" spans="4:10" ht="15" customHeight="1" x14ac:dyDescent="0.25">
      <c r="D31" s="93" t="s">
        <v>156</v>
      </c>
      <c r="E31" s="99">
        <f>SUM(E32:E35)</f>
        <v>130281</v>
      </c>
      <c r="F31" s="94">
        <f>SUM(F32:F35)</f>
        <v>127589</v>
      </c>
      <c r="G31" s="94">
        <f>SUM(G32:G35)</f>
        <v>134224</v>
      </c>
      <c r="H31" s="94">
        <f>SUM(H32:H35)</f>
        <v>136908.48000000001</v>
      </c>
    </row>
    <row r="32" spans="4:10" outlineLevel="1" x14ac:dyDescent="0.25">
      <c r="D32" s="86" t="s">
        <v>295</v>
      </c>
      <c r="E32" s="100">
        <f>72500+45833</f>
        <v>118333</v>
      </c>
      <c r="F32" s="95">
        <f>59090+58284</f>
        <v>117374</v>
      </c>
      <c r="G32" s="95">
        <f>60880+60050</f>
        <v>120930</v>
      </c>
      <c r="H32" s="95">
        <f>G32*(1+I32)</f>
        <v>123348.6</v>
      </c>
      <c r="I32" s="162">
        <v>0.02</v>
      </c>
      <c r="J32" s="163">
        <f>G32/0.07</f>
        <v>1727571.4285714284</v>
      </c>
    </row>
    <row r="33" spans="4:9" outlineLevel="1" x14ac:dyDescent="0.25">
      <c r="D33" s="85" t="s">
        <v>157</v>
      </c>
      <c r="E33" s="100"/>
      <c r="F33" s="95"/>
      <c r="G33" s="95"/>
      <c r="H33" s="95">
        <f>G33*(1+I33)</f>
        <v>0</v>
      </c>
      <c r="I33" s="162">
        <v>0.02</v>
      </c>
    </row>
    <row r="34" spans="4:9" outlineLevel="1" x14ac:dyDescent="0.25">
      <c r="D34" s="86" t="s">
        <v>299</v>
      </c>
      <c r="E34" s="100">
        <f>7250+4698</f>
        <v>11948</v>
      </c>
      <c r="F34" s="95">
        <f>7189+3026</f>
        <v>10215</v>
      </c>
      <c r="G34" s="95">
        <f>7901+5393</f>
        <v>13294</v>
      </c>
      <c r="H34" s="95">
        <f>G34*(1+I34)</f>
        <v>13559.880000000001</v>
      </c>
      <c r="I34" s="162">
        <v>0.02</v>
      </c>
    </row>
    <row r="35" spans="4:9" outlineLevel="1" x14ac:dyDescent="0.25">
      <c r="D35" s="87" t="s">
        <v>154</v>
      </c>
      <c r="E35" s="100"/>
      <c r="F35" s="95"/>
      <c r="G35" s="95"/>
      <c r="H35" s="95">
        <f>G35*(1+I35)</f>
        <v>0</v>
      </c>
      <c r="I35" s="162">
        <v>0.02</v>
      </c>
    </row>
    <row r="36" spans="4:9" x14ac:dyDescent="0.25">
      <c r="D36" s="90" t="s">
        <v>158</v>
      </c>
      <c r="E36" s="98">
        <f>E37</f>
        <v>0</v>
      </c>
      <c r="F36" s="96">
        <f>F37</f>
        <v>0</v>
      </c>
      <c r="G36" s="96">
        <f>G37</f>
        <v>0</v>
      </c>
      <c r="H36" s="96">
        <f>H37</f>
        <v>0</v>
      </c>
      <c r="I36" s="162"/>
    </row>
    <row r="37" spans="4:9" outlineLevel="1" x14ac:dyDescent="0.25">
      <c r="D37" s="101" t="s">
        <v>159</v>
      </c>
      <c r="E37" s="100">
        <v>0</v>
      </c>
      <c r="F37" s="95"/>
      <c r="G37" s="95">
        <v>0</v>
      </c>
      <c r="H37" s="95"/>
      <c r="I37" s="162"/>
    </row>
    <row r="38" spans="4:9" x14ac:dyDescent="0.25">
      <c r="D38" s="92" t="s">
        <v>155</v>
      </c>
      <c r="E38" s="94">
        <f>E37+E31</f>
        <v>130281</v>
      </c>
      <c r="F38" s="94">
        <f>F37+F31</f>
        <v>127589</v>
      </c>
      <c r="G38" s="94">
        <f>G37+G31</f>
        <v>134224</v>
      </c>
      <c r="H38" s="94">
        <f>H37+H31</f>
        <v>136908.48000000001</v>
      </c>
      <c r="I38" s="162"/>
    </row>
    <row r="39" spans="4:9" x14ac:dyDescent="0.25">
      <c r="D39" s="90" t="s">
        <v>160</v>
      </c>
      <c r="E39" s="96">
        <f>SUM(E40:E54)</f>
        <v>16996</v>
      </c>
      <c r="F39" s="96">
        <f>SUM(F40:F54)</f>
        <v>12398</v>
      </c>
      <c r="G39" s="96">
        <f>SUM(G40:G54)</f>
        <v>11693</v>
      </c>
      <c r="H39" s="96">
        <f>SUM(H40:H54)</f>
        <v>12024.779999999999</v>
      </c>
      <c r="I39" s="162"/>
    </row>
    <row r="40" spans="4:9" outlineLevel="1" x14ac:dyDescent="0.25">
      <c r="D40" s="85" t="s">
        <v>161</v>
      </c>
      <c r="E40" s="95"/>
      <c r="F40" s="95"/>
      <c r="G40" s="95"/>
      <c r="H40" s="95"/>
      <c r="I40" s="162">
        <v>0.02</v>
      </c>
    </row>
    <row r="41" spans="4:9" outlineLevel="1" x14ac:dyDescent="0.25">
      <c r="D41" s="85" t="s">
        <v>162</v>
      </c>
      <c r="E41" s="95"/>
      <c r="F41" s="95"/>
      <c r="G41" s="95"/>
      <c r="H41" s="95"/>
      <c r="I41" s="162">
        <v>0.02</v>
      </c>
    </row>
    <row r="42" spans="4:9" outlineLevel="1" x14ac:dyDescent="0.25">
      <c r="D42" s="85" t="s">
        <v>163</v>
      </c>
      <c r="E42" s="95"/>
      <c r="F42" s="95"/>
      <c r="G42" s="95"/>
      <c r="H42" s="95"/>
      <c r="I42" s="162">
        <v>0.02</v>
      </c>
    </row>
    <row r="43" spans="4:9" outlineLevel="1" x14ac:dyDescent="0.25">
      <c r="D43" s="85" t="s">
        <v>164</v>
      </c>
      <c r="E43" s="95"/>
      <c r="F43" s="95"/>
      <c r="G43" s="95"/>
      <c r="H43" s="95"/>
      <c r="I43" s="162">
        <v>0.02</v>
      </c>
    </row>
    <row r="44" spans="4:9" outlineLevel="1" x14ac:dyDescent="0.25">
      <c r="D44" s="85" t="s">
        <v>165</v>
      </c>
      <c r="E44" s="95">
        <f>4055+2176</f>
        <v>6231</v>
      </c>
      <c r="F44" s="95">
        <f>2823+3123</f>
        <v>5946</v>
      </c>
      <c r="G44" s="95">
        <f>3191+3075+1</f>
        <v>6267</v>
      </c>
      <c r="H44" s="95">
        <f>G44*(1+I44)</f>
        <v>6392.34</v>
      </c>
      <c r="I44" s="162">
        <v>0.02</v>
      </c>
    </row>
    <row r="45" spans="4:9" outlineLevel="1" x14ac:dyDescent="0.25">
      <c r="D45" s="85" t="s">
        <v>166</v>
      </c>
      <c r="E45" s="95"/>
      <c r="F45" s="95">
        <v>36</v>
      </c>
      <c r="G45" s="95"/>
      <c r="H45" s="95">
        <f t="shared" ref="H45" si="1">AVERAGE(E45:G45)*(1+I45)</f>
        <v>36.72</v>
      </c>
      <c r="I45" s="162">
        <v>0.02</v>
      </c>
    </row>
    <row r="46" spans="4:9" outlineLevel="1" x14ac:dyDescent="0.25">
      <c r="D46" s="85" t="s">
        <v>167</v>
      </c>
      <c r="E46" s="95"/>
      <c r="F46" s="95"/>
      <c r="G46" s="95"/>
      <c r="H46" s="95"/>
      <c r="I46" s="162">
        <v>0.02</v>
      </c>
    </row>
    <row r="47" spans="4:9" outlineLevel="1" x14ac:dyDescent="0.25">
      <c r="D47" s="85" t="s">
        <v>168</v>
      </c>
      <c r="E47" s="95">
        <v>371</v>
      </c>
      <c r="F47" s="95">
        <v>402</v>
      </c>
      <c r="G47" s="95">
        <v>410</v>
      </c>
      <c r="H47" s="95">
        <f>G47*(1+I47)</f>
        <v>418.2</v>
      </c>
      <c r="I47" s="162">
        <v>0.02</v>
      </c>
    </row>
    <row r="48" spans="4:9" outlineLevel="1" x14ac:dyDescent="0.25">
      <c r="D48" s="85" t="s">
        <v>169</v>
      </c>
      <c r="E48" s="95"/>
      <c r="F48" s="95"/>
      <c r="G48" s="95"/>
      <c r="H48" s="95"/>
      <c r="I48" s="162">
        <v>0.02</v>
      </c>
    </row>
    <row r="49" spans="4:9" outlineLevel="1" x14ac:dyDescent="0.25">
      <c r="D49" s="85" t="s">
        <v>170</v>
      </c>
      <c r="E49" s="95">
        <v>2958</v>
      </c>
      <c r="F49" s="95">
        <v>1435</v>
      </c>
      <c r="G49" s="95">
        <v>1557</v>
      </c>
      <c r="H49" s="95">
        <f>G49*(1+I49)</f>
        <v>1588.14</v>
      </c>
      <c r="I49" s="162">
        <v>0.02</v>
      </c>
    </row>
    <row r="50" spans="4:9" outlineLevel="1" x14ac:dyDescent="0.25">
      <c r="D50" s="85" t="s">
        <v>171</v>
      </c>
      <c r="E50" s="95">
        <v>342</v>
      </c>
      <c r="F50" s="95">
        <v>327</v>
      </c>
      <c r="G50" s="95">
        <v>331</v>
      </c>
      <c r="H50" s="95">
        <f>G50*(1+I50)</f>
        <v>337.62</v>
      </c>
      <c r="I50" s="162">
        <v>0.02</v>
      </c>
    </row>
    <row r="51" spans="4:9" outlineLevel="1" x14ac:dyDescent="0.25">
      <c r="D51" s="85" t="s">
        <v>172</v>
      </c>
      <c r="E51" s="95">
        <v>5192</v>
      </c>
      <c r="F51" s="95">
        <v>3483</v>
      </c>
      <c r="G51" s="95">
        <v>2415</v>
      </c>
      <c r="H51" s="95">
        <f t="shared" ref="H51:H52" si="2">G51*(1+I51)</f>
        <v>2463.3000000000002</v>
      </c>
      <c r="I51" s="162">
        <v>0.02</v>
      </c>
    </row>
    <row r="52" spans="4:9" outlineLevel="1" x14ac:dyDescent="0.25">
      <c r="D52" s="85" t="s">
        <v>173</v>
      </c>
      <c r="E52" s="95"/>
      <c r="F52" s="95"/>
      <c r="G52" s="95"/>
      <c r="H52" s="95">
        <f t="shared" si="2"/>
        <v>0</v>
      </c>
      <c r="I52" s="162">
        <v>0.02</v>
      </c>
    </row>
    <row r="53" spans="4:9" outlineLevel="1" x14ac:dyDescent="0.25">
      <c r="D53" s="85" t="s">
        <v>174</v>
      </c>
      <c r="E53" s="95">
        <v>1065</v>
      </c>
      <c r="F53" s="95"/>
      <c r="G53" s="95"/>
      <c r="H53" s="95"/>
      <c r="I53" s="162">
        <v>0.02</v>
      </c>
    </row>
    <row r="54" spans="4:9" outlineLevel="1" x14ac:dyDescent="0.25">
      <c r="D54" s="88" t="s">
        <v>175</v>
      </c>
      <c r="E54" s="95">
        <v>837</v>
      </c>
      <c r="F54" s="95">
        <v>769</v>
      </c>
      <c r="G54" s="95">
        <v>713</v>
      </c>
      <c r="H54" s="95">
        <f>AVERAGE(E54:G54)*(1+I54)</f>
        <v>788.46</v>
      </c>
      <c r="I54" s="162">
        <v>0.02</v>
      </c>
    </row>
    <row r="55" spans="4:9" x14ac:dyDescent="0.25">
      <c r="D55" s="90" t="s">
        <v>176</v>
      </c>
      <c r="E55" s="96">
        <f>E56+E57</f>
        <v>115</v>
      </c>
      <c r="F55" s="96">
        <v>9834</v>
      </c>
      <c r="G55" s="96">
        <f>G56+G57</f>
        <v>7028</v>
      </c>
      <c r="H55" s="96">
        <f>H56+H57</f>
        <v>7168.56</v>
      </c>
    </row>
    <row r="56" spans="4:9" outlineLevel="1" x14ac:dyDescent="0.25">
      <c r="D56" s="85" t="s">
        <v>177</v>
      </c>
      <c r="E56" s="95">
        <v>115</v>
      </c>
      <c r="F56" s="95">
        <v>9384</v>
      </c>
      <c r="G56" s="95">
        <v>7028</v>
      </c>
      <c r="H56" s="95">
        <f>G56*(1+I56)</f>
        <v>7168.56</v>
      </c>
      <c r="I56" s="162">
        <v>0.02</v>
      </c>
    </row>
    <row r="57" spans="4:9" outlineLevel="1" x14ac:dyDescent="0.25">
      <c r="D57" s="88" t="s">
        <v>178</v>
      </c>
      <c r="E57" s="95"/>
      <c r="F57" s="95"/>
      <c r="G57" s="95"/>
      <c r="H57" s="95">
        <f>G57*(1+I57)</f>
        <v>0</v>
      </c>
    </row>
    <row r="58" spans="4:9" x14ac:dyDescent="0.25">
      <c r="D58" s="90" t="s">
        <v>179</v>
      </c>
      <c r="E58" s="96">
        <f>E59</f>
        <v>32070</v>
      </c>
      <c r="F58" s="96">
        <f>F59</f>
        <v>32070</v>
      </c>
      <c r="G58" s="96">
        <f>G59</f>
        <v>32070</v>
      </c>
      <c r="H58" s="96">
        <f>H59</f>
        <v>32070</v>
      </c>
    </row>
    <row r="59" spans="4:9" outlineLevel="1" x14ac:dyDescent="0.25">
      <c r="D59" s="88" t="s">
        <v>180</v>
      </c>
      <c r="E59" s="95">
        <v>32070</v>
      </c>
      <c r="F59" s="95">
        <v>32070</v>
      </c>
      <c r="G59" s="95">
        <v>32070</v>
      </c>
      <c r="H59" s="95">
        <f>G59</f>
        <v>32070</v>
      </c>
    </row>
    <row r="60" spans="4:9" x14ac:dyDescent="0.25">
      <c r="D60" s="90" t="s">
        <v>181</v>
      </c>
      <c r="E60" s="96">
        <f>E61</f>
        <v>0</v>
      </c>
      <c r="F60" s="96">
        <f>F61</f>
        <v>0</v>
      </c>
      <c r="G60" s="96">
        <f>G61</f>
        <v>0</v>
      </c>
      <c r="H60" s="96">
        <f>H61</f>
        <v>0</v>
      </c>
    </row>
    <row r="61" spans="4:9" outlineLevel="1" x14ac:dyDescent="0.25">
      <c r="D61" s="88" t="s">
        <v>182</v>
      </c>
      <c r="E61" s="95"/>
      <c r="F61" s="95"/>
      <c r="G61" s="95"/>
      <c r="H61" s="95"/>
    </row>
    <row r="62" spans="4:9" x14ac:dyDescent="0.25">
      <c r="D62" s="91" t="s">
        <v>186</v>
      </c>
      <c r="E62" s="94">
        <f>E60+E58+E55+E39</f>
        <v>49181</v>
      </c>
      <c r="F62" s="94">
        <f>F60+F58+F55+F39</f>
        <v>54302</v>
      </c>
      <c r="G62" s="94">
        <f>G60+G58+G55+G39</f>
        <v>50791</v>
      </c>
      <c r="H62" s="94">
        <f>H60+H58+H55+H39</f>
        <v>51263.34</v>
      </c>
    </row>
    <row r="63" spans="4:9" x14ac:dyDescent="0.25">
      <c r="D63" s="92" t="s">
        <v>187</v>
      </c>
      <c r="E63" s="94">
        <f>E38-E62</f>
        <v>81100</v>
      </c>
      <c r="F63" s="94">
        <f>F38-F62</f>
        <v>73287</v>
      </c>
      <c r="G63" s="94">
        <f>G38-G62</f>
        <v>83433</v>
      </c>
      <c r="H63" s="94">
        <f>H38-H62</f>
        <v>85645.140000000014</v>
      </c>
    </row>
    <row r="64" spans="4:9" x14ac:dyDescent="0.25">
      <c r="D64" s="89" t="s">
        <v>183</v>
      </c>
      <c r="E64" s="96">
        <f>E65+E66</f>
        <v>16237</v>
      </c>
      <c r="F64" s="96">
        <f>F65+F66</f>
        <v>14933</v>
      </c>
      <c r="G64" s="96">
        <f>G65+G66</f>
        <v>13904</v>
      </c>
      <c r="H64" s="96">
        <f>H65+H66</f>
        <v>12845.229497042408</v>
      </c>
    </row>
    <row r="65" spans="4:8" outlineLevel="1" x14ac:dyDescent="0.25">
      <c r="D65" s="85" t="s">
        <v>184</v>
      </c>
      <c r="E65" s="95"/>
      <c r="F65" s="95"/>
      <c r="G65" s="95"/>
      <c r="H65" s="95"/>
    </row>
    <row r="66" spans="4:8" outlineLevel="1" x14ac:dyDescent="0.25">
      <c r="D66" s="88" t="s">
        <v>185</v>
      </c>
      <c r="E66" s="95">
        <v>16237</v>
      </c>
      <c r="F66" s="95">
        <v>14933</v>
      </c>
      <c r="G66" s="95">
        <v>13904</v>
      </c>
      <c r="H66" s="95">
        <f>-Emprunts!BH13-Emprunts!BH14</f>
        <v>12845.229497042408</v>
      </c>
    </row>
    <row r="67" spans="4:8" x14ac:dyDescent="0.25">
      <c r="D67" s="91" t="s">
        <v>188</v>
      </c>
      <c r="E67" s="94">
        <f>E64</f>
        <v>16237</v>
      </c>
      <c r="F67" s="94">
        <f>F64</f>
        <v>14933</v>
      </c>
      <c r="G67" s="94">
        <f>G64</f>
        <v>13904</v>
      </c>
      <c r="H67" s="94">
        <f>H64</f>
        <v>12845.229497042408</v>
      </c>
    </row>
    <row r="68" spans="4:8" x14ac:dyDescent="0.25">
      <c r="D68" s="92" t="s">
        <v>189</v>
      </c>
      <c r="E68" s="94">
        <f>E67</f>
        <v>16237</v>
      </c>
      <c r="F68" s="94">
        <f>F67</f>
        <v>14933</v>
      </c>
      <c r="G68" s="94">
        <f>G67</f>
        <v>13904</v>
      </c>
      <c r="H68" s="94">
        <f>H67</f>
        <v>12845.229497042408</v>
      </c>
    </row>
    <row r="69" spans="4:8" x14ac:dyDescent="0.25">
      <c r="D69" s="92" t="s">
        <v>190</v>
      </c>
      <c r="E69" s="97">
        <f>E63-E68</f>
        <v>64863</v>
      </c>
      <c r="F69" s="97">
        <f>F63-F68</f>
        <v>58354</v>
      </c>
      <c r="G69" s="97">
        <f>G63-G68</f>
        <v>69529</v>
      </c>
      <c r="H69" s="97">
        <f>H63-H68</f>
        <v>72799.910502957602</v>
      </c>
    </row>
    <row r="70" spans="4:8" outlineLevel="1" x14ac:dyDescent="0.25">
      <c r="D70" s="86" t="s">
        <v>191</v>
      </c>
      <c r="E70" s="95"/>
      <c r="F70" s="95"/>
      <c r="G70" s="95"/>
      <c r="H70" s="95"/>
    </row>
    <row r="71" spans="4:8" x14ac:dyDescent="0.25">
      <c r="D71" s="92" t="s">
        <v>192</v>
      </c>
      <c r="E71" s="97">
        <f>E69-E70</f>
        <v>64863</v>
      </c>
      <c r="F71" s="97">
        <f>F69-F70</f>
        <v>58354</v>
      </c>
      <c r="G71" s="97">
        <f>G69-G70</f>
        <v>69529</v>
      </c>
      <c r="H71" s="97">
        <f>H69-H70</f>
        <v>72799.910502957602</v>
      </c>
    </row>
    <row r="73" spans="4:8" collapsed="1" x14ac:dyDescent="0.25">
      <c r="D73" s="92" t="s">
        <v>211</v>
      </c>
      <c r="E73" s="97">
        <f>SUM(E74:E84)</f>
        <v>1017908</v>
      </c>
      <c r="F73" s="97">
        <f>SUM(F74:F84)</f>
        <v>1017908</v>
      </c>
      <c r="G73" s="97">
        <f t="shared" ref="G73:H73" si="3">SUM(G74:G84)</f>
        <v>1017908</v>
      </c>
      <c r="H73" s="97">
        <f t="shared" si="3"/>
        <v>0</v>
      </c>
    </row>
    <row r="74" spans="4:8" outlineLevel="1" x14ac:dyDescent="0.25">
      <c r="D74" s="112" t="s">
        <v>200</v>
      </c>
      <c r="E74" s="113">
        <v>305372</v>
      </c>
      <c r="F74" s="113">
        <v>305372</v>
      </c>
      <c r="G74" s="113">
        <v>305372</v>
      </c>
      <c r="H74" s="113"/>
    </row>
    <row r="75" spans="4:8" outlineLevel="1" x14ac:dyDescent="0.25">
      <c r="D75" s="111" t="s">
        <v>201</v>
      </c>
      <c r="E75" s="96"/>
      <c r="F75" s="96"/>
      <c r="G75" s="96"/>
      <c r="H75" s="96"/>
    </row>
    <row r="76" spans="4:8" outlineLevel="1" x14ac:dyDescent="0.25">
      <c r="D76" s="111" t="s">
        <v>202</v>
      </c>
      <c r="E76" s="96">
        <v>356268</v>
      </c>
      <c r="F76" s="96">
        <v>356268</v>
      </c>
      <c r="G76" s="96">
        <v>356268</v>
      </c>
      <c r="H76" s="96"/>
    </row>
    <row r="77" spans="4:8" outlineLevel="1" x14ac:dyDescent="0.25">
      <c r="D77" s="111" t="s">
        <v>203</v>
      </c>
      <c r="E77" s="96"/>
      <c r="F77" s="96"/>
      <c r="G77" s="96"/>
      <c r="H77" s="96"/>
    </row>
    <row r="78" spans="4:8" outlineLevel="1" x14ac:dyDescent="0.25">
      <c r="D78" s="111" t="s">
        <v>204</v>
      </c>
      <c r="E78" s="96">
        <v>178134</v>
      </c>
      <c r="F78" s="96">
        <v>178134</v>
      </c>
      <c r="G78" s="96">
        <v>178134</v>
      </c>
      <c r="H78" s="96"/>
    </row>
    <row r="79" spans="4:8" outlineLevel="1" x14ac:dyDescent="0.25">
      <c r="D79" s="111" t="s">
        <v>205</v>
      </c>
      <c r="E79" s="96"/>
      <c r="F79" s="96"/>
      <c r="G79" s="96"/>
      <c r="H79" s="96"/>
    </row>
    <row r="80" spans="4:8" outlineLevel="1" x14ac:dyDescent="0.25">
      <c r="D80" s="111" t="s">
        <v>206</v>
      </c>
      <c r="E80" s="96">
        <v>106880</v>
      </c>
      <c r="F80" s="96">
        <v>106880</v>
      </c>
      <c r="G80" s="96">
        <v>106880</v>
      </c>
      <c r="H80" s="96"/>
    </row>
    <row r="81" spans="2:8" outlineLevel="1" x14ac:dyDescent="0.25">
      <c r="D81" s="111" t="s">
        <v>207</v>
      </c>
      <c r="E81" s="96"/>
      <c r="F81" s="96"/>
      <c r="G81" s="96"/>
      <c r="H81" s="96"/>
    </row>
    <row r="82" spans="2:8" outlineLevel="1" x14ac:dyDescent="0.25">
      <c r="D82" s="111" t="s">
        <v>208</v>
      </c>
      <c r="E82" s="96">
        <v>71254</v>
      </c>
      <c r="F82" s="96">
        <v>71254</v>
      </c>
      <c r="G82" s="96">
        <v>71254</v>
      </c>
      <c r="H82" s="96"/>
    </row>
    <row r="83" spans="2:8" outlineLevel="1" x14ac:dyDescent="0.25">
      <c r="D83" s="111" t="s">
        <v>209</v>
      </c>
      <c r="E83" s="96"/>
      <c r="F83" s="96"/>
      <c r="G83" s="96"/>
      <c r="H83" s="96"/>
    </row>
    <row r="84" spans="2:8" outlineLevel="1" x14ac:dyDescent="0.25">
      <c r="D84" s="114" t="s">
        <v>210</v>
      </c>
      <c r="E84" s="115"/>
      <c r="F84" s="115"/>
      <c r="G84" s="115"/>
      <c r="H84" s="115"/>
    </row>
    <row r="86" spans="2:8" collapsed="1" x14ac:dyDescent="0.25">
      <c r="D86" s="92" t="s">
        <v>213</v>
      </c>
      <c r="E86" s="97">
        <f>SUM(E87:E92)</f>
        <v>1042612</v>
      </c>
      <c r="F86" s="97">
        <f>SUM(F87:F92)</f>
        <v>1042612</v>
      </c>
      <c r="G86" s="97">
        <f>SUM(G87:G92)</f>
        <v>1042612</v>
      </c>
      <c r="H86" s="97">
        <f>H80-H81</f>
        <v>0</v>
      </c>
    </row>
    <row r="87" spans="2:8" outlineLevel="1" x14ac:dyDescent="0.25">
      <c r="D87" s="112" t="str">
        <f>D96</f>
        <v>EMPRUNT LCL 377k€</v>
      </c>
      <c r="E87" s="113">
        <v>377612</v>
      </c>
      <c r="F87" s="113">
        <v>377612</v>
      </c>
      <c r="G87" s="113">
        <v>377612</v>
      </c>
      <c r="H87" s="113"/>
    </row>
    <row r="88" spans="2:8" outlineLevel="1" x14ac:dyDescent="0.25">
      <c r="D88" s="111" t="str">
        <f>D97</f>
        <v>EMPRUNT CA 665k€</v>
      </c>
      <c r="E88" s="96">
        <v>665000</v>
      </c>
      <c r="F88" s="96">
        <v>665000</v>
      </c>
      <c r="G88" s="96">
        <v>665000</v>
      </c>
      <c r="H88" s="96"/>
    </row>
    <row r="89" spans="2:8" outlineLevel="1" x14ac:dyDescent="0.25">
      <c r="D89" s="111" t="s">
        <v>294</v>
      </c>
      <c r="E89" s="96"/>
      <c r="F89" s="96"/>
      <c r="G89" s="96"/>
      <c r="H89" s="96"/>
    </row>
    <row r="90" spans="2:8" outlineLevel="1" x14ac:dyDescent="0.25">
      <c r="D90" s="111" t="s">
        <v>214</v>
      </c>
      <c r="E90" s="96"/>
      <c r="F90" s="96"/>
      <c r="G90" s="96"/>
      <c r="H90" s="96"/>
    </row>
    <row r="91" spans="2:8" outlineLevel="1" x14ac:dyDescent="0.25">
      <c r="D91" s="111" t="s">
        <v>215</v>
      </c>
      <c r="E91" s="96"/>
      <c r="F91" s="96"/>
      <c r="G91" s="96"/>
      <c r="H91" s="96"/>
    </row>
    <row r="92" spans="2:8" outlineLevel="1" x14ac:dyDescent="0.25">
      <c r="D92" s="114" t="s">
        <v>216</v>
      </c>
      <c r="E92" s="115"/>
      <c r="F92" s="115"/>
      <c r="G92" s="115"/>
      <c r="H92" s="115"/>
    </row>
    <row r="95" spans="2:8" collapsed="1" x14ac:dyDescent="0.25">
      <c r="B95" s="158" t="s">
        <v>278</v>
      </c>
      <c r="C95" s="158" t="s">
        <v>277</v>
      </c>
      <c r="D95" s="92" t="s">
        <v>221</v>
      </c>
      <c r="E95" s="97">
        <f>SUM(E96:E107)</f>
        <v>991576</v>
      </c>
      <c r="F95" s="97">
        <f>SUM(F96:F107)</f>
        <v>927716</v>
      </c>
      <c r="G95" s="97">
        <f t="shared" ref="G95:H95" si="4">SUM(G96:G107)</f>
        <v>862830</v>
      </c>
      <c r="H95" s="97">
        <f t="shared" si="4"/>
        <v>0</v>
      </c>
    </row>
    <row r="96" spans="2:8" outlineLevel="1" x14ac:dyDescent="0.25">
      <c r="B96">
        <v>2037</v>
      </c>
      <c r="C96" s="159">
        <v>1.7999999999999999E-2</v>
      </c>
      <c r="D96" s="112" t="s">
        <v>300</v>
      </c>
      <c r="E96" s="113">
        <v>356545</v>
      </c>
      <c r="F96" s="113">
        <v>333162</v>
      </c>
      <c r="G96" s="113">
        <v>309356</v>
      </c>
      <c r="H96" s="113"/>
    </row>
    <row r="97" spans="2:8" outlineLevel="1" x14ac:dyDescent="0.25">
      <c r="B97">
        <v>2038</v>
      </c>
      <c r="C97" s="159">
        <v>1.4E-2</v>
      </c>
      <c r="D97" s="111" t="s">
        <v>301</v>
      </c>
      <c r="E97" s="96">
        <v>635031</v>
      </c>
      <c r="F97" s="96">
        <v>594554</v>
      </c>
      <c r="G97" s="96">
        <v>553474</v>
      </c>
      <c r="H97" s="96"/>
    </row>
    <row r="98" spans="2:8" outlineLevel="1" x14ac:dyDescent="0.25">
      <c r="C98" s="159"/>
      <c r="D98" s="111" t="s">
        <v>291</v>
      </c>
      <c r="E98" s="96"/>
      <c r="F98" s="96"/>
      <c r="G98" s="96"/>
      <c r="H98" s="96"/>
    </row>
    <row r="99" spans="2:8" outlineLevel="1" x14ac:dyDescent="0.25">
      <c r="D99" s="111" t="s">
        <v>219</v>
      </c>
      <c r="E99" s="96"/>
      <c r="F99" s="96"/>
      <c r="G99" s="96"/>
      <c r="H99" s="96"/>
    </row>
    <row r="100" spans="2:8" outlineLevel="1" x14ac:dyDescent="0.25">
      <c r="D100" s="111" t="s">
        <v>220</v>
      </c>
      <c r="E100" s="96"/>
      <c r="F100" s="96"/>
      <c r="G100" s="96"/>
      <c r="H100" s="96"/>
    </row>
    <row r="101" spans="2:8" outlineLevel="1" x14ac:dyDescent="0.25">
      <c r="D101" s="111" t="s">
        <v>294</v>
      </c>
      <c r="E101" s="96"/>
      <c r="F101" s="96"/>
      <c r="G101" s="96"/>
      <c r="H101" s="96"/>
    </row>
    <row r="102" spans="2:8" outlineLevel="1" x14ac:dyDescent="0.25">
      <c r="D102" s="111" t="s">
        <v>214</v>
      </c>
      <c r="E102" s="96"/>
      <c r="F102" s="96"/>
      <c r="G102" s="96"/>
      <c r="H102" s="96"/>
    </row>
    <row r="103" spans="2:8" outlineLevel="1" x14ac:dyDescent="0.25">
      <c r="D103" s="111" t="s">
        <v>215</v>
      </c>
      <c r="E103" s="96"/>
      <c r="F103" s="96"/>
      <c r="G103" s="96"/>
      <c r="H103" s="96"/>
    </row>
    <row r="104" spans="2:8" outlineLevel="1" x14ac:dyDescent="0.25">
      <c r="D104" s="111" t="s">
        <v>222</v>
      </c>
      <c r="E104" s="96"/>
      <c r="F104" s="96"/>
      <c r="G104" s="96"/>
      <c r="H104" s="96"/>
    </row>
    <row r="105" spans="2:8" outlineLevel="1" x14ac:dyDescent="0.25">
      <c r="D105" s="111" t="s">
        <v>224</v>
      </c>
      <c r="E105" s="96"/>
      <c r="F105" s="96"/>
      <c r="G105" s="96"/>
      <c r="H105" s="96"/>
    </row>
    <row r="106" spans="2:8" outlineLevel="1" x14ac:dyDescent="0.25">
      <c r="D106" s="111" t="s">
        <v>223</v>
      </c>
      <c r="E106" s="96"/>
      <c r="F106" s="96"/>
      <c r="G106" s="96"/>
      <c r="H106" s="96"/>
    </row>
    <row r="107" spans="2:8" outlineLevel="1" x14ac:dyDescent="0.25">
      <c r="D107" s="114" t="s">
        <v>225</v>
      </c>
      <c r="E107" s="115"/>
      <c r="F107" s="115"/>
      <c r="G107" s="115"/>
      <c r="H107" s="115"/>
    </row>
    <row r="109" spans="2:8" collapsed="1" x14ac:dyDescent="0.25">
      <c r="D109" s="92" t="s">
        <v>226</v>
      </c>
      <c r="E109" s="97">
        <f>SUM(E110:E119)</f>
        <v>0</v>
      </c>
      <c r="F109" s="97">
        <f>SUM(F110:F119)</f>
        <v>0</v>
      </c>
      <c r="G109" s="97">
        <f t="shared" ref="G109:H109" si="5">SUM(G110:G119)</f>
        <v>0</v>
      </c>
      <c r="H109" s="97">
        <f t="shared" si="5"/>
        <v>0</v>
      </c>
    </row>
    <row r="110" spans="2:8" x14ac:dyDescent="0.25">
      <c r="D110" s="112" t="s">
        <v>227</v>
      </c>
      <c r="E110" s="113"/>
      <c r="F110" s="113"/>
      <c r="G110" s="113"/>
      <c r="H110" s="113"/>
    </row>
    <row r="111" spans="2:8" outlineLevel="1" x14ac:dyDescent="0.25">
      <c r="D111" s="117" t="str">
        <f>D5</f>
        <v>Crèche Epone</v>
      </c>
      <c r="E111" s="118">
        <v>0</v>
      </c>
      <c r="F111" s="119">
        <v>0</v>
      </c>
      <c r="G111" s="119">
        <v>0</v>
      </c>
      <c r="H111" s="119"/>
    </row>
    <row r="112" spans="2:8" outlineLevel="1" x14ac:dyDescent="0.25">
      <c r="D112" s="120" t="str">
        <f t="shared" ref="D112:D120" si="6">D6</f>
        <v>Crèche Nice</v>
      </c>
      <c r="E112" s="100">
        <v>0</v>
      </c>
      <c r="F112" s="95">
        <v>0</v>
      </c>
      <c r="G112" s="95">
        <v>0</v>
      </c>
      <c r="H112" s="95"/>
    </row>
    <row r="113" spans="4:8" outlineLevel="1" x14ac:dyDescent="0.25">
      <c r="D113" s="120" t="str">
        <f t="shared" si="6"/>
        <v>Location 3</v>
      </c>
      <c r="E113" s="100">
        <v>0</v>
      </c>
      <c r="F113" s="95">
        <v>0</v>
      </c>
      <c r="G113" s="95">
        <v>0</v>
      </c>
      <c r="H113" s="95"/>
    </row>
    <row r="114" spans="4:8" outlineLevel="1" x14ac:dyDescent="0.25">
      <c r="D114" s="120" t="str">
        <f t="shared" si="6"/>
        <v>Location 4</v>
      </c>
      <c r="E114" s="100">
        <v>0</v>
      </c>
      <c r="F114" s="95">
        <v>0</v>
      </c>
      <c r="G114" s="95">
        <v>0</v>
      </c>
      <c r="H114" s="95"/>
    </row>
    <row r="115" spans="4:8" outlineLevel="1" x14ac:dyDescent="0.25">
      <c r="D115" s="120" t="str">
        <f t="shared" si="6"/>
        <v>Location 5</v>
      </c>
      <c r="E115" s="100">
        <v>0</v>
      </c>
      <c r="F115" s="95">
        <v>0</v>
      </c>
      <c r="G115" s="95">
        <v>0</v>
      </c>
      <c r="H115" s="95"/>
    </row>
    <row r="116" spans="4:8" outlineLevel="1" x14ac:dyDescent="0.25">
      <c r="D116" s="120" t="str">
        <f t="shared" si="6"/>
        <v>Location 6</v>
      </c>
      <c r="E116" s="100">
        <v>0</v>
      </c>
      <c r="F116" s="95">
        <v>0</v>
      </c>
      <c r="G116" s="95">
        <v>0</v>
      </c>
      <c r="H116" s="95"/>
    </row>
    <row r="117" spans="4:8" outlineLevel="1" x14ac:dyDescent="0.25">
      <c r="D117" s="120" t="str">
        <f t="shared" si="6"/>
        <v>Location 7</v>
      </c>
      <c r="E117" s="100">
        <v>0</v>
      </c>
      <c r="F117" s="95">
        <v>0</v>
      </c>
      <c r="G117" s="95">
        <v>0</v>
      </c>
      <c r="H117" s="95"/>
    </row>
    <row r="118" spans="4:8" outlineLevel="1" x14ac:dyDescent="0.25">
      <c r="D118" s="120" t="str">
        <f t="shared" si="6"/>
        <v>Location 8</v>
      </c>
      <c r="E118" s="100">
        <v>0</v>
      </c>
      <c r="F118" s="95">
        <v>0</v>
      </c>
      <c r="G118" s="95">
        <v>0</v>
      </c>
      <c r="H118" s="95"/>
    </row>
    <row r="119" spans="4:8" outlineLevel="1" x14ac:dyDescent="0.25">
      <c r="D119" s="120" t="str">
        <f t="shared" si="6"/>
        <v>Location 9</v>
      </c>
      <c r="E119" s="100">
        <v>0</v>
      </c>
      <c r="F119" s="95">
        <v>0</v>
      </c>
      <c r="G119" s="95">
        <v>0</v>
      </c>
      <c r="H119" s="95"/>
    </row>
    <row r="120" spans="4:8" outlineLevel="1" x14ac:dyDescent="0.25">
      <c r="D120" s="120" t="str">
        <f t="shared" si="6"/>
        <v>Location 10</v>
      </c>
      <c r="E120" s="100">
        <v>0</v>
      </c>
      <c r="F120" s="95">
        <v>0</v>
      </c>
      <c r="G120" s="95">
        <v>0</v>
      </c>
      <c r="H120" s="95"/>
    </row>
    <row r="121" spans="4:8" x14ac:dyDescent="0.25">
      <c r="D121" s="112" t="s">
        <v>228</v>
      </c>
      <c r="E121" s="113"/>
      <c r="F121" s="113"/>
      <c r="G121" s="113"/>
      <c r="H121" s="113"/>
    </row>
    <row r="122" spans="4:8" outlineLevel="1" x14ac:dyDescent="0.25">
      <c r="D122" s="120" t="str">
        <f>D5</f>
        <v>Crèche Epone</v>
      </c>
      <c r="E122" s="100">
        <v>0</v>
      </c>
      <c r="F122" s="95">
        <v>0</v>
      </c>
      <c r="G122" s="95">
        <v>0</v>
      </c>
      <c r="H122" s="95"/>
    </row>
    <row r="123" spans="4:8" outlineLevel="1" x14ac:dyDescent="0.25">
      <c r="D123" s="120" t="str">
        <f t="shared" ref="D123:D131" si="7">D6</f>
        <v>Crèche Nice</v>
      </c>
      <c r="E123" s="100">
        <v>0</v>
      </c>
      <c r="F123" s="95">
        <v>0</v>
      </c>
      <c r="G123" s="95">
        <v>0</v>
      </c>
      <c r="H123" s="95"/>
    </row>
    <row r="124" spans="4:8" outlineLevel="1" x14ac:dyDescent="0.25">
      <c r="D124" s="120" t="str">
        <f t="shared" si="7"/>
        <v>Location 3</v>
      </c>
      <c r="E124" s="100">
        <v>0</v>
      </c>
      <c r="F124" s="95">
        <v>0</v>
      </c>
      <c r="G124" s="95">
        <v>0</v>
      </c>
      <c r="H124" s="95"/>
    </row>
    <row r="125" spans="4:8" outlineLevel="1" x14ac:dyDescent="0.25">
      <c r="D125" s="120" t="str">
        <f t="shared" si="7"/>
        <v>Location 4</v>
      </c>
      <c r="E125" s="100">
        <v>0</v>
      </c>
      <c r="F125" s="95">
        <v>0</v>
      </c>
      <c r="G125" s="95">
        <v>0</v>
      </c>
      <c r="H125" s="95"/>
    </row>
    <row r="126" spans="4:8" outlineLevel="1" x14ac:dyDescent="0.25">
      <c r="D126" s="120" t="str">
        <f t="shared" si="7"/>
        <v>Location 5</v>
      </c>
      <c r="E126" s="100">
        <v>0</v>
      </c>
      <c r="F126" s="95">
        <v>0</v>
      </c>
      <c r="G126" s="95">
        <v>0</v>
      </c>
      <c r="H126" s="95"/>
    </row>
    <row r="127" spans="4:8" outlineLevel="1" x14ac:dyDescent="0.25">
      <c r="D127" s="120" t="str">
        <f t="shared" si="7"/>
        <v>Location 6</v>
      </c>
      <c r="E127" s="100">
        <v>0</v>
      </c>
      <c r="F127" s="95">
        <v>0</v>
      </c>
      <c r="G127" s="95">
        <v>0</v>
      </c>
      <c r="H127" s="95"/>
    </row>
    <row r="128" spans="4:8" outlineLevel="1" x14ac:dyDescent="0.25">
      <c r="D128" s="120" t="str">
        <f t="shared" si="7"/>
        <v>Location 7</v>
      </c>
      <c r="E128" s="100">
        <v>0</v>
      </c>
      <c r="F128" s="95">
        <v>0</v>
      </c>
      <c r="G128" s="95">
        <v>0</v>
      </c>
      <c r="H128" s="95"/>
    </row>
    <row r="129" spans="4:8" outlineLevel="1" x14ac:dyDescent="0.25">
      <c r="D129" s="120" t="str">
        <f t="shared" si="7"/>
        <v>Location 8</v>
      </c>
      <c r="E129" s="100">
        <v>0</v>
      </c>
      <c r="F129" s="95">
        <v>0</v>
      </c>
      <c r="G129" s="95">
        <v>0</v>
      </c>
      <c r="H129" s="95"/>
    </row>
    <row r="130" spans="4:8" outlineLevel="1" x14ac:dyDescent="0.25">
      <c r="D130" s="120" t="str">
        <f t="shared" si="7"/>
        <v>Location 9</v>
      </c>
      <c r="E130" s="100">
        <v>0</v>
      </c>
      <c r="F130" s="95">
        <v>0</v>
      </c>
      <c r="G130" s="95">
        <v>0</v>
      </c>
      <c r="H130" s="95"/>
    </row>
    <row r="131" spans="4:8" outlineLevel="1" x14ac:dyDescent="0.25">
      <c r="D131" s="121" t="str">
        <f t="shared" si="7"/>
        <v>Location 10</v>
      </c>
      <c r="E131" s="122">
        <v>0</v>
      </c>
      <c r="F131" s="123">
        <v>0</v>
      </c>
      <c r="G131" s="123">
        <v>0</v>
      </c>
      <c r="H131" s="123"/>
    </row>
    <row r="132" spans="4:8" x14ac:dyDescent="0.25">
      <c r="D132" s="116"/>
    </row>
    <row r="133" spans="4:8" x14ac:dyDescent="0.25">
      <c r="D133" s="116"/>
    </row>
    <row r="134" spans="4:8" x14ac:dyDescent="0.25">
      <c r="D134" s="116"/>
    </row>
  </sheetData>
  <mergeCells count="2">
    <mergeCell ref="A1:C1"/>
    <mergeCell ref="D29:D3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E5FF-BC30-4AA1-83B8-B55AC39646DF}">
  <dimension ref="A1:I134"/>
  <sheetViews>
    <sheetView zoomScale="90" zoomScaleNormal="90" workbookViewId="0">
      <selection activeCell="G28" sqref="G28"/>
    </sheetView>
  </sheetViews>
  <sheetFormatPr baseColWidth="10" defaultRowHeight="15" outlineLevelRow="1" x14ac:dyDescent="0.25"/>
  <cols>
    <col min="3" max="3" width="14" customWidth="1"/>
    <col min="4" max="4" width="67" customWidth="1"/>
    <col min="5" max="8" width="17.28515625" customWidth="1"/>
  </cols>
  <sheetData>
    <row r="1" spans="1:8" x14ac:dyDescent="0.25">
      <c r="A1" s="170" t="s">
        <v>302</v>
      </c>
      <c r="B1" s="170"/>
      <c r="C1" s="170"/>
    </row>
    <row r="4" spans="1:8" x14ac:dyDescent="0.25">
      <c r="C4" s="93" t="s">
        <v>199</v>
      </c>
      <c r="D4" s="93" t="s">
        <v>197</v>
      </c>
      <c r="E4" s="102">
        <v>2023</v>
      </c>
      <c r="F4" s="107">
        <v>2024</v>
      </c>
      <c r="G4" s="103">
        <v>2025</v>
      </c>
      <c r="H4" s="103">
        <v>2026</v>
      </c>
    </row>
    <row r="5" spans="1:8" x14ac:dyDescent="0.25">
      <c r="C5" s="108"/>
      <c r="D5" s="108" t="str">
        <f>BDD!G14</f>
        <v>Crèche Chennevières</v>
      </c>
      <c r="F5" s="108"/>
      <c r="G5" s="104"/>
      <c r="H5" s="161">
        <f>BDD!S14</f>
        <v>75240</v>
      </c>
    </row>
    <row r="6" spans="1:8" x14ac:dyDescent="0.25">
      <c r="C6" s="108"/>
      <c r="D6" s="108" t="str">
        <f>BDD!G15</f>
        <v>Crèche Alforville</v>
      </c>
      <c r="F6" s="108"/>
      <c r="G6" s="104"/>
      <c r="H6" s="161">
        <f>BDD!S15</f>
        <v>86100</v>
      </c>
    </row>
    <row r="7" spans="1:8" x14ac:dyDescent="0.25">
      <c r="C7" s="108"/>
      <c r="D7" s="108" t="s">
        <v>285</v>
      </c>
      <c r="F7" s="108"/>
      <c r="G7" s="104"/>
      <c r="H7" s="104"/>
    </row>
    <row r="8" spans="1:8" x14ac:dyDescent="0.25">
      <c r="C8" s="108"/>
      <c r="D8" s="108" t="s">
        <v>286</v>
      </c>
      <c r="F8" s="108"/>
      <c r="G8" s="104"/>
      <c r="H8" s="104"/>
    </row>
    <row r="9" spans="1:8" x14ac:dyDescent="0.25">
      <c r="C9" s="108"/>
      <c r="D9" s="108" t="s">
        <v>287</v>
      </c>
      <c r="F9" s="108"/>
      <c r="G9" s="104"/>
      <c r="H9" s="104"/>
    </row>
    <row r="10" spans="1:8" x14ac:dyDescent="0.25">
      <c r="C10" s="108"/>
      <c r="D10" s="108" t="s">
        <v>288</v>
      </c>
      <c r="F10" s="108"/>
      <c r="G10" s="104"/>
      <c r="H10" s="104"/>
    </row>
    <row r="11" spans="1:8" outlineLevel="1" x14ac:dyDescent="0.25">
      <c r="C11" s="108"/>
      <c r="D11" s="108" t="s">
        <v>193</v>
      </c>
      <c r="F11" s="108"/>
      <c r="G11" s="104"/>
      <c r="H11" s="104"/>
    </row>
    <row r="12" spans="1:8" outlineLevel="1" x14ac:dyDescent="0.25">
      <c r="C12" s="108"/>
      <c r="D12" s="108" t="s">
        <v>194</v>
      </c>
      <c r="F12" s="108"/>
      <c r="G12" s="104"/>
      <c r="H12" s="104"/>
    </row>
    <row r="13" spans="1:8" outlineLevel="1" x14ac:dyDescent="0.25">
      <c r="C13" s="108"/>
      <c r="D13" s="108" t="s">
        <v>195</v>
      </c>
      <c r="F13" s="108"/>
      <c r="G13" s="104"/>
      <c r="H13" s="104"/>
    </row>
    <row r="14" spans="1:8" outlineLevel="1" x14ac:dyDescent="0.25">
      <c r="C14" s="109"/>
      <c r="D14" s="109" t="s">
        <v>196</v>
      </c>
      <c r="E14" s="105"/>
      <c r="F14" s="109"/>
      <c r="G14" s="106"/>
      <c r="H14" s="106"/>
    </row>
    <row r="16" spans="1:8" x14ac:dyDescent="0.25">
      <c r="D16" s="93" t="s">
        <v>198</v>
      </c>
      <c r="E16" s="107">
        <v>2023</v>
      </c>
      <c r="F16" s="107">
        <v>2024</v>
      </c>
      <c r="G16" s="107">
        <v>2025</v>
      </c>
      <c r="H16" s="107">
        <v>2026</v>
      </c>
    </row>
    <row r="17" spans="4:9" x14ac:dyDescent="0.25">
      <c r="D17" s="108" t="str">
        <f>D5</f>
        <v>Crèche Chennevières</v>
      </c>
      <c r="E17" s="108"/>
      <c r="F17" s="108"/>
      <c r="G17" s="108"/>
      <c r="H17" s="108"/>
    </row>
    <row r="18" spans="4:9" x14ac:dyDescent="0.25">
      <c r="D18" s="108" t="str">
        <f t="shared" ref="D18:D26" si="0">D6</f>
        <v>Crèche Alforville</v>
      </c>
      <c r="E18" s="108"/>
      <c r="F18" s="108"/>
      <c r="G18" s="108"/>
      <c r="H18" s="108"/>
    </row>
    <row r="19" spans="4:9" x14ac:dyDescent="0.25">
      <c r="D19" s="108" t="str">
        <f t="shared" si="0"/>
        <v>Location 3</v>
      </c>
      <c r="E19" s="108"/>
      <c r="F19" s="108"/>
      <c r="G19" s="108"/>
      <c r="H19" s="108"/>
    </row>
    <row r="20" spans="4:9" x14ac:dyDescent="0.25">
      <c r="D20" s="108" t="str">
        <f t="shared" si="0"/>
        <v>Location 4</v>
      </c>
      <c r="E20" s="108"/>
      <c r="F20" s="108"/>
      <c r="G20" s="108"/>
      <c r="H20" s="108"/>
    </row>
    <row r="21" spans="4:9" x14ac:dyDescent="0.25">
      <c r="D21" s="108" t="str">
        <f t="shared" si="0"/>
        <v>Location 5</v>
      </c>
      <c r="E21" s="108"/>
      <c r="F21" s="108"/>
      <c r="G21" s="108"/>
      <c r="H21" s="108"/>
    </row>
    <row r="22" spans="4:9" x14ac:dyDescent="0.25">
      <c r="D22" s="108" t="str">
        <f t="shared" si="0"/>
        <v>Location 6</v>
      </c>
      <c r="E22" s="108"/>
      <c r="F22" s="108"/>
      <c r="G22" s="108"/>
      <c r="H22" s="108"/>
    </row>
    <row r="23" spans="4:9" outlineLevel="1" x14ac:dyDescent="0.25">
      <c r="D23" s="108" t="str">
        <f t="shared" si="0"/>
        <v>Location 7</v>
      </c>
      <c r="E23" s="108"/>
      <c r="F23" s="108"/>
      <c r="G23" s="108"/>
      <c r="H23" s="108"/>
    </row>
    <row r="24" spans="4:9" outlineLevel="1" x14ac:dyDescent="0.25">
      <c r="D24" s="108" t="str">
        <f t="shared" si="0"/>
        <v>Location 8</v>
      </c>
      <c r="E24" s="108"/>
      <c r="F24" s="108"/>
      <c r="G24" s="108"/>
      <c r="H24" s="108"/>
    </row>
    <row r="25" spans="4:9" outlineLevel="1" x14ac:dyDescent="0.25">
      <c r="D25" s="108" t="str">
        <f t="shared" si="0"/>
        <v>Location 9</v>
      </c>
      <c r="E25" s="108"/>
      <c r="F25" s="108"/>
      <c r="G25" s="108"/>
      <c r="H25" s="108"/>
    </row>
    <row r="26" spans="4:9" outlineLevel="1" x14ac:dyDescent="0.25">
      <c r="D26" s="109" t="str">
        <f t="shared" si="0"/>
        <v>Location 10</v>
      </c>
      <c r="E26" s="109"/>
      <c r="F26" s="109"/>
      <c r="G26" s="109"/>
      <c r="H26" s="109"/>
    </row>
    <row r="28" spans="4:9" x14ac:dyDescent="0.25">
      <c r="G28" s="169" t="s">
        <v>322</v>
      </c>
    </row>
    <row r="29" spans="4:9" x14ac:dyDescent="0.25">
      <c r="D29" s="171"/>
      <c r="E29" s="110">
        <v>2023</v>
      </c>
      <c r="F29" s="110">
        <v>2024</v>
      </c>
      <c r="G29" s="110">
        <v>2025</v>
      </c>
      <c r="H29" s="110">
        <v>2026</v>
      </c>
    </row>
    <row r="30" spans="4:9" x14ac:dyDescent="0.25">
      <c r="D30" s="172"/>
    </row>
    <row r="31" spans="4:9" ht="15" customHeight="1" x14ac:dyDescent="0.25">
      <c r="D31" s="93" t="s">
        <v>156</v>
      </c>
      <c r="E31" s="99">
        <f>SUM(E32:E35)</f>
        <v>0</v>
      </c>
      <c r="F31" s="94">
        <f>SUM(F32:F35)</f>
        <v>103516</v>
      </c>
      <c r="G31" s="94">
        <f>SUM(G32:G35)</f>
        <v>185609</v>
      </c>
      <c r="H31" s="94">
        <f>SUM(H32:H35)</f>
        <v>189321.18000000002</v>
      </c>
    </row>
    <row r="32" spans="4:9" outlineLevel="1" x14ac:dyDescent="0.25">
      <c r="D32" s="86" t="s">
        <v>295</v>
      </c>
      <c r="E32" s="100"/>
      <c r="F32" s="95">
        <f>57580+28544</f>
        <v>86124</v>
      </c>
      <c r="G32" s="95">
        <f>78940+88709</f>
        <v>167649</v>
      </c>
      <c r="H32" s="95">
        <f>G32*(1+I32)</f>
        <v>171001.98</v>
      </c>
      <c r="I32" s="162">
        <v>0.02</v>
      </c>
    </row>
    <row r="33" spans="4:9" outlineLevel="1" x14ac:dyDescent="0.25">
      <c r="D33" s="85" t="s">
        <v>157</v>
      </c>
      <c r="E33" s="100"/>
      <c r="F33" s="95"/>
      <c r="G33" s="95"/>
      <c r="H33" s="95">
        <f>G33*(1+I33)</f>
        <v>0</v>
      </c>
      <c r="I33" s="162">
        <v>0.02</v>
      </c>
    </row>
    <row r="34" spans="4:9" outlineLevel="1" x14ac:dyDescent="0.25">
      <c r="D34" s="86" t="s">
        <v>299</v>
      </c>
      <c r="E34" s="100"/>
      <c r="F34" s="95">
        <f>13232+4160</f>
        <v>17392</v>
      </c>
      <c r="G34" s="95">
        <f>4891+13069</f>
        <v>17960</v>
      </c>
      <c r="H34" s="95">
        <f>G34*(1+I34)</f>
        <v>18319.2</v>
      </c>
      <c r="I34" s="162">
        <v>0.02</v>
      </c>
    </row>
    <row r="35" spans="4:9" outlineLevel="1" x14ac:dyDescent="0.25">
      <c r="D35" s="87" t="s">
        <v>154</v>
      </c>
      <c r="E35" s="100"/>
      <c r="F35" s="95"/>
      <c r="G35" s="95"/>
      <c r="H35" s="95">
        <f>G35*(1+I35)</f>
        <v>0</v>
      </c>
      <c r="I35" s="162">
        <v>0.02</v>
      </c>
    </row>
    <row r="36" spans="4:9" x14ac:dyDescent="0.25">
      <c r="D36" s="90" t="s">
        <v>158</v>
      </c>
      <c r="E36" s="98">
        <f>E37</f>
        <v>0</v>
      </c>
      <c r="F36" s="96">
        <f>F37</f>
        <v>0</v>
      </c>
      <c r="G36" s="96">
        <f>G37</f>
        <v>0</v>
      </c>
      <c r="H36" s="96">
        <f>H37</f>
        <v>0</v>
      </c>
      <c r="I36" s="162"/>
    </row>
    <row r="37" spans="4:9" outlineLevel="1" x14ac:dyDescent="0.25">
      <c r="D37" s="101" t="s">
        <v>159</v>
      </c>
      <c r="E37" s="100">
        <v>0</v>
      </c>
      <c r="F37" s="95"/>
      <c r="G37" s="95">
        <v>0</v>
      </c>
      <c r="H37" s="95"/>
      <c r="I37" s="162"/>
    </row>
    <row r="38" spans="4:9" x14ac:dyDescent="0.25">
      <c r="D38" s="92" t="s">
        <v>155</v>
      </c>
      <c r="E38" s="94">
        <f>E37+E31</f>
        <v>0</v>
      </c>
      <c r="F38" s="94">
        <f>F37+F31</f>
        <v>103516</v>
      </c>
      <c r="G38" s="94">
        <f>G37+G31</f>
        <v>185609</v>
      </c>
      <c r="H38" s="94">
        <f>H37+H31</f>
        <v>189321.18000000002</v>
      </c>
      <c r="I38" s="162"/>
    </row>
    <row r="39" spans="4:9" x14ac:dyDescent="0.25">
      <c r="D39" s="90" t="s">
        <v>160</v>
      </c>
      <c r="E39" s="96">
        <f>SUM(E40:E54)</f>
        <v>108780</v>
      </c>
      <c r="F39" s="96">
        <f>SUM(F40:F54)</f>
        <v>29714</v>
      </c>
      <c r="G39" s="96">
        <f>SUM(G40:G54)</f>
        <v>14565</v>
      </c>
      <c r="H39" s="96">
        <f>SUM(H40:H54)</f>
        <v>14683.919999999998</v>
      </c>
      <c r="I39" s="162"/>
    </row>
    <row r="40" spans="4:9" outlineLevel="1" x14ac:dyDescent="0.25">
      <c r="D40" s="85" t="s">
        <v>161</v>
      </c>
      <c r="E40" s="95"/>
      <c r="F40" s="95"/>
      <c r="G40" s="95"/>
      <c r="H40" s="95"/>
      <c r="I40" s="162">
        <v>0.02</v>
      </c>
    </row>
    <row r="41" spans="4:9" outlineLevel="1" x14ac:dyDescent="0.25">
      <c r="D41" s="85" t="s">
        <v>162</v>
      </c>
      <c r="E41" s="95"/>
      <c r="F41" s="95"/>
      <c r="G41" s="95"/>
      <c r="H41" s="95"/>
      <c r="I41" s="162">
        <v>0.02</v>
      </c>
    </row>
    <row r="42" spans="4:9" outlineLevel="1" x14ac:dyDescent="0.25">
      <c r="D42" s="85" t="s">
        <v>163</v>
      </c>
      <c r="E42" s="95"/>
      <c r="F42" s="95"/>
      <c r="G42" s="95"/>
      <c r="H42" s="95"/>
      <c r="I42" s="162">
        <v>0.02</v>
      </c>
    </row>
    <row r="43" spans="4:9" outlineLevel="1" x14ac:dyDescent="0.25">
      <c r="D43" s="85" t="s">
        <v>164</v>
      </c>
      <c r="E43" s="95"/>
      <c r="F43" s="95"/>
      <c r="G43" s="95"/>
      <c r="H43" s="95"/>
      <c r="I43" s="162">
        <v>0.02</v>
      </c>
    </row>
    <row r="44" spans="4:9" outlineLevel="1" x14ac:dyDescent="0.25">
      <c r="D44" s="85" t="s">
        <v>165</v>
      </c>
      <c r="E44" s="95">
        <v>2226</v>
      </c>
      <c r="F44" s="95">
        <f>12560+5822</f>
        <v>18382</v>
      </c>
      <c r="G44" s="95">
        <f>1263+7096</f>
        <v>8359</v>
      </c>
      <c r="H44" s="95">
        <f>G44*(1+I44)</f>
        <v>8526.18</v>
      </c>
      <c r="I44" s="162">
        <v>0.02</v>
      </c>
    </row>
    <row r="45" spans="4:9" outlineLevel="1" x14ac:dyDescent="0.25">
      <c r="D45" s="85" t="s">
        <v>166</v>
      </c>
      <c r="E45" s="95"/>
      <c r="F45" s="95"/>
      <c r="G45" s="95">
        <v>215</v>
      </c>
      <c r="H45" s="95">
        <f>G45*(1+I45)</f>
        <v>219.3</v>
      </c>
      <c r="I45" s="162">
        <v>0.02</v>
      </c>
    </row>
    <row r="46" spans="4:9" outlineLevel="1" x14ac:dyDescent="0.25">
      <c r="D46" s="85" t="s">
        <v>167</v>
      </c>
      <c r="E46" s="95"/>
      <c r="F46" s="95"/>
      <c r="G46" s="95"/>
      <c r="H46" s="95"/>
      <c r="I46" s="162">
        <v>0.02</v>
      </c>
    </row>
    <row r="47" spans="4:9" outlineLevel="1" x14ac:dyDescent="0.25">
      <c r="D47" s="85" t="s">
        <v>168</v>
      </c>
      <c r="E47" s="95">
        <v>868</v>
      </c>
      <c r="F47" s="95">
        <v>1144</v>
      </c>
      <c r="G47" s="95">
        <v>1261</v>
      </c>
      <c r="H47" s="95">
        <f>G47*(1+I47)</f>
        <v>1286.22</v>
      </c>
      <c r="I47" s="162">
        <v>0.02</v>
      </c>
    </row>
    <row r="48" spans="4:9" outlineLevel="1" x14ac:dyDescent="0.25">
      <c r="D48" s="85" t="s">
        <v>169</v>
      </c>
      <c r="E48" s="95"/>
      <c r="F48" s="95"/>
      <c r="G48" s="95"/>
      <c r="H48" s="95"/>
      <c r="I48" s="162">
        <v>0.02</v>
      </c>
    </row>
    <row r="49" spans="4:9" outlineLevel="1" x14ac:dyDescent="0.25">
      <c r="D49" s="85" t="s">
        <v>170</v>
      </c>
      <c r="E49" s="95">
        <v>1836</v>
      </c>
      <c r="F49" s="95">
        <v>1571</v>
      </c>
      <c r="G49" s="95">
        <v>1557</v>
      </c>
      <c r="H49" s="95">
        <f>G49*(1+I49)</f>
        <v>1588.14</v>
      </c>
      <c r="I49" s="162">
        <v>0.02</v>
      </c>
    </row>
    <row r="50" spans="4:9" outlineLevel="1" x14ac:dyDescent="0.25">
      <c r="D50" s="85" t="s">
        <v>171</v>
      </c>
      <c r="E50" s="95">
        <v>1236</v>
      </c>
      <c r="F50" s="95">
        <v>327</v>
      </c>
      <c r="G50" s="95">
        <v>331</v>
      </c>
      <c r="H50" s="95">
        <f>G50*(1+I50)</f>
        <v>337.62</v>
      </c>
      <c r="I50" s="162">
        <v>0.02</v>
      </c>
    </row>
    <row r="51" spans="4:9" outlineLevel="1" x14ac:dyDescent="0.25">
      <c r="D51" s="85" t="s">
        <v>172</v>
      </c>
      <c r="E51" s="95">
        <v>55845</v>
      </c>
      <c r="F51" s="95">
        <v>7260</v>
      </c>
      <c r="G51" s="95">
        <v>1861</v>
      </c>
      <c r="H51" s="95">
        <f t="shared" ref="H51:H52" si="1">G51*(1+I51)</f>
        <v>1898.22</v>
      </c>
      <c r="I51" s="162">
        <v>0.02</v>
      </c>
    </row>
    <row r="52" spans="4:9" outlineLevel="1" x14ac:dyDescent="0.25">
      <c r="D52" s="85" t="s">
        <v>173</v>
      </c>
      <c r="E52" s="95"/>
      <c r="F52" s="95"/>
      <c r="G52" s="95"/>
      <c r="H52" s="95">
        <f t="shared" si="1"/>
        <v>0</v>
      </c>
      <c r="I52" s="162">
        <v>0.02</v>
      </c>
    </row>
    <row r="53" spans="4:9" outlineLevel="1" x14ac:dyDescent="0.25">
      <c r="D53" s="85" t="s">
        <v>174</v>
      </c>
      <c r="E53" s="95">
        <v>46364</v>
      </c>
      <c r="F53" s="95">
        <v>-20</v>
      </c>
      <c r="G53" s="95"/>
      <c r="H53" s="95"/>
      <c r="I53" s="162">
        <v>0.02</v>
      </c>
    </row>
    <row r="54" spans="4:9" outlineLevel="1" x14ac:dyDescent="0.25">
      <c r="D54" s="88" t="s">
        <v>175</v>
      </c>
      <c r="E54" s="95">
        <v>405</v>
      </c>
      <c r="F54" s="95">
        <v>1050</v>
      </c>
      <c r="G54" s="95">
        <v>981</v>
      </c>
      <c r="H54" s="95">
        <f>AVERAGE(E54:G54)*(1+I54)</f>
        <v>828.24</v>
      </c>
      <c r="I54" s="162">
        <v>0.02</v>
      </c>
    </row>
    <row r="55" spans="4:9" x14ac:dyDescent="0.25">
      <c r="D55" s="90" t="s">
        <v>176</v>
      </c>
      <c r="E55" s="96">
        <f>E56+E57</f>
        <v>0</v>
      </c>
      <c r="F55" s="96">
        <f>F56+F57</f>
        <v>9740</v>
      </c>
      <c r="G55" s="96">
        <f>G56+G57</f>
        <v>9386</v>
      </c>
      <c r="H55" s="96">
        <f>H56+H57</f>
        <v>9573.7199999999993</v>
      </c>
    </row>
    <row r="56" spans="4:9" outlineLevel="1" x14ac:dyDescent="0.25">
      <c r="D56" s="85" t="s">
        <v>177</v>
      </c>
      <c r="E56" s="95"/>
      <c r="F56" s="95">
        <v>9740</v>
      </c>
      <c r="G56" s="95">
        <v>9386</v>
      </c>
      <c r="H56" s="95">
        <f>G56*(1+I56)</f>
        <v>9573.7199999999993</v>
      </c>
      <c r="I56" s="162">
        <v>0.02</v>
      </c>
    </row>
    <row r="57" spans="4:9" outlineLevel="1" x14ac:dyDescent="0.25">
      <c r="D57" s="88" t="s">
        <v>178</v>
      </c>
      <c r="E57" s="95"/>
      <c r="F57" s="95"/>
      <c r="G57" s="95"/>
      <c r="H57" s="95">
        <f>G57*(1+I57)</f>
        <v>0</v>
      </c>
    </row>
    <row r="58" spans="4:9" x14ac:dyDescent="0.25">
      <c r="D58" s="90" t="s">
        <v>179</v>
      </c>
      <c r="E58" s="96">
        <f>E59</f>
        <v>0</v>
      </c>
      <c r="F58" s="96">
        <f>F59</f>
        <v>49588</v>
      </c>
      <c r="G58" s="96">
        <f>G59</f>
        <v>49588</v>
      </c>
      <c r="H58" s="96">
        <f>H59</f>
        <v>49588</v>
      </c>
    </row>
    <row r="59" spans="4:9" outlineLevel="1" x14ac:dyDescent="0.25">
      <c r="D59" s="88" t="s">
        <v>180</v>
      </c>
      <c r="E59" s="95"/>
      <c r="F59" s="95">
        <v>49588</v>
      </c>
      <c r="G59" s="95">
        <v>49588</v>
      </c>
      <c r="H59" s="95">
        <f>G59</f>
        <v>49588</v>
      </c>
    </row>
    <row r="60" spans="4:9" x14ac:dyDescent="0.25">
      <c r="D60" s="90" t="s">
        <v>181</v>
      </c>
      <c r="E60" s="96">
        <f>E61</f>
        <v>0</v>
      </c>
      <c r="F60" s="96">
        <f>F61</f>
        <v>0</v>
      </c>
      <c r="G60" s="96">
        <f>G61</f>
        <v>0</v>
      </c>
      <c r="H60" s="96">
        <f>H61</f>
        <v>0</v>
      </c>
    </row>
    <row r="61" spans="4:9" outlineLevel="1" x14ac:dyDescent="0.25">
      <c r="D61" s="88" t="s">
        <v>182</v>
      </c>
      <c r="E61" s="95"/>
      <c r="F61" s="95"/>
      <c r="G61" s="95"/>
      <c r="H61" s="95"/>
    </row>
    <row r="62" spans="4:9" x14ac:dyDescent="0.25">
      <c r="D62" s="91" t="s">
        <v>186</v>
      </c>
      <c r="E62" s="94">
        <f>E60+E58+E55+E39</f>
        <v>108780</v>
      </c>
      <c r="F62" s="94">
        <f>F60+F58+F55+F39</f>
        <v>89042</v>
      </c>
      <c r="G62" s="94">
        <f>G60+G58+G55+G39</f>
        <v>73539</v>
      </c>
      <c r="H62" s="94">
        <f>H60+H58+H55+H39</f>
        <v>73845.64</v>
      </c>
    </row>
    <row r="63" spans="4:9" x14ac:dyDescent="0.25">
      <c r="D63" s="92" t="s">
        <v>187</v>
      </c>
      <c r="E63" s="94">
        <f>E38-E62</f>
        <v>-108780</v>
      </c>
      <c r="F63" s="94">
        <f>F38-F62</f>
        <v>14474</v>
      </c>
      <c r="G63" s="94">
        <f>G38-G62</f>
        <v>112070</v>
      </c>
      <c r="H63" s="94">
        <f>H38-H62</f>
        <v>115475.54000000002</v>
      </c>
    </row>
    <row r="64" spans="4:9" x14ac:dyDescent="0.25">
      <c r="D64" s="89" t="s">
        <v>183</v>
      </c>
      <c r="E64" s="96">
        <f>E65+E66</f>
        <v>23621</v>
      </c>
      <c r="F64" s="96">
        <f>F65+F66</f>
        <v>71781</v>
      </c>
      <c r="G64" s="96">
        <f>G65+G66</f>
        <v>69656</v>
      </c>
      <c r="H64" s="96">
        <f>H65+H66</f>
        <v>65794.739296449246</v>
      </c>
    </row>
    <row r="65" spans="4:8" outlineLevel="1" x14ac:dyDescent="0.25">
      <c r="D65" s="85" t="s">
        <v>184</v>
      </c>
      <c r="E65" s="95"/>
      <c r="F65" s="95">
        <v>47</v>
      </c>
      <c r="G65" s="95"/>
      <c r="H65" s="95"/>
    </row>
    <row r="66" spans="4:8" outlineLevel="1" x14ac:dyDescent="0.25">
      <c r="D66" s="88" t="s">
        <v>185</v>
      </c>
      <c r="E66" s="95">
        <f>7308+16313</f>
        <v>23621</v>
      </c>
      <c r="F66" s="95">
        <f>38045+33689</f>
        <v>71734</v>
      </c>
      <c r="G66" s="95">
        <v>69656</v>
      </c>
      <c r="H66" s="95">
        <f>-Emprunts!BH15-Emprunts!BH19</f>
        <v>65794.739296449246</v>
      </c>
    </row>
    <row r="67" spans="4:8" x14ac:dyDescent="0.25">
      <c r="D67" s="91" t="s">
        <v>188</v>
      </c>
      <c r="E67" s="94">
        <f>E64</f>
        <v>23621</v>
      </c>
      <c r="F67" s="94">
        <f>F64</f>
        <v>71781</v>
      </c>
      <c r="G67" s="94">
        <f>G64</f>
        <v>69656</v>
      </c>
      <c r="H67" s="94">
        <f>H64</f>
        <v>65794.739296449246</v>
      </c>
    </row>
    <row r="68" spans="4:8" x14ac:dyDescent="0.25">
      <c r="D68" s="92" t="s">
        <v>189</v>
      </c>
      <c r="E68" s="94">
        <f>E67</f>
        <v>23621</v>
      </c>
      <c r="F68" s="94">
        <f>F67</f>
        <v>71781</v>
      </c>
      <c r="G68" s="94">
        <f>G67</f>
        <v>69656</v>
      </c>
      <c r="H68" s="94">
        <f>H67</f>
        <v>65794.739296449246</v>
      </c>
    </row>
    <row r="69" spans="4:8" x14ac:dyDescent="0.25">
      <c r="D69" s="92" t="s">
        <v>190</v>
      </c>
      <c r="E69" s="97">
        <f>E63-E68</f>
        <v>-132401</v>
      </c>
      <c r="F69" s="97">
        <f>F63-F68</f>
        <v>-57307</v>
      </c>
      <c r="G69" s="97">
        <f>G63-G68</f>
        <v>42414</v>
      </c>
      <c r="H69" s="97">
        <f>H63-H68</f>
        <v>49680.800703550776</v>
      </c>
    </row>
    <row r="70" spans="4:8" outlineLevel="1" x14ac:dyDescent="0.25">
      <c r="D70" s="86" t="s">
        <v>191</v>
      </c>
      <c r="E70" s="95"/>
      <c r="F70" s="95"/>
      <c r="G70" s="95"/>
      <c r="H70" s="95"/>
    </row>
    <row r="71" spans="4:8" x14ac:dyDescent="0.25">
      <c r="D71" s="92" t="s">
        <v>192</v>
      </c>
      <c r="E71" s="97">
        <f>E69-E70</f>
        <v>-132401</v>
      </c>
      <c r="F71" s="97">
        <f>F69-F70</f>
        <v>-57307</v>
      </c>
      <c r="G71" s="97">
        <f>G69-G70</f>
        <v>42414</v>
      </c>
      <c r="H71" s="97">
        <f>H69-H70</f>
        <v>49680.800703550776</v>
      </c>
    </row>
    <row r="73" spans="4:8" collapsed="1" x14ac:dyDescent="0.25">
      <c r="D73" s="92" t="s">
        <v>211</v>
      </c>
      <c r="E73" s="97">
        <f>SUM(E74:E84)</f>
        <v>0</v>
      </c>
      <c r="F73" s="97">
        <f>SUM(F74:F84)</f>
        <v>1574000</v>
      </c>
      <c r="G73" s="97">
        <f t="shared" ref="G73:H73" si="2">SUM(G74:G84)</f>
        <v>1574000</v>
      </c>
      <c r="H73" s="97">
        <f t="shared" si="2"/>
        <v>0</v>
      </c>
    </row>
    <row r="74" spans="4:8" outlineLevel="1" x14ac:dyDescent="0.25">
      <c r="D74" s="112" t="s">
        <v>200</v>
      </c>
      <c r="E74" s="113"/>
      <c r="F74" s="113">
        <v>472200</v>
      </c>
      <c r="G74" s="113">
        <v>472200</v>
      </c>
      <c r="H74" s="113"/>
    </row>
    <row r="75" spans="4:8" outlineLevel="1" x14ac:dyDescent="0.25">
      <c r="D75" s="111" t="s">
        <v>201</v>
      </c>
      <c r="E75" s="96"/>
      <c r="F75" s="96"/>
      <c r="G75" s="96"/>
      <c r="H75" s="96"/>
    </row>
    <row r="76" spans="4:8" outlineLevel="1" x14ac:dyDescent="0.25">
      <c r="D76" s="111" t="s">
        <v>202</v>
      </c>
      <c r="E76" s="96"/>
      <c r="F76" s="96">
        <v>550900</v>
      </c>
      <c r="G76" s="96">
        <v>550900</v>
      </c>
      <c r="H76" s="96"/>
    </row>
    <row r="77" spans="4:8" outlineLevel="1" x14ac:dyDescent="0.25">
      <c r="D77" s="111" t="s">
        <v>203</v>
      </c>
      <c r="E77" s="96"/>
      <c r="F77" s="96"/>
      <c r="G77" s="96"/>
      <c r="H77" s="96"/>
    </row>
    <row r="78" spans="4:8" outlineLevel="1" x14ac:dyDescent="0.25">
      <c r="D78" s="111" t="s">
        <v>204</v>
      </c>
      <c r="E78" s="96"/>
      <c r="F78" s="96">
        <v>275450</v>
      </c>
      <c r="G78" s="96">
        <v>275450</v>
      </c>
      <c r="H78" s="96"/>
    </row>
    <row r="79" spans="4:8" outlineLevel="1" x14ac:dyDescent="0.25">
      <c r="D79" s="111" t="s">
        <v>205</v>
      </c>
      <c r="E79" s="96"/>
      <c r="F79" s="96"/>
      <c r="G79" s="96"/>
      <c r="H79" s="96"/>
    </row>
    <row r="80" spans="4:8" outlineLevel="1" x14ac:dyDescent="0.25">
      <c r="D80" s="111" t="s">
        <v>206</v>
      </c>
      <c r="E80" s="96"/>
      <c r="F80" s="96">
        <v>165270</v>
      </c>
      <c r="G80" s="96">
        <v>165270</v>
      </c>
      <c r="H80" s="96"/>
    </row>
    <row r="81" spans="2:8" outlineLevel="1" x14ac:dyDescent="0.25">
      <c r="D81" s="111" t="s">
        <v>207</v>
      </c>
      <c r="E81" s="96"/>
      <c r="F81" s="96"/>
      <c r="G81" s="96"/>
      <c r="H81" s="96"/>
    </row>
    <row r="82" spans="2:8" outlineLevel="1" x14ac:dyDescent="0.25">
      <c r="D82" s="111" t="s">
        <v>208</v>
      </c>
      <c r="E82" s="96"/>
      <c r="F82" s="96">
        <v>110180</v>
      </c>
      <c r="G82" s="96">
        <v>110180</v>
      </c>
      <c r="H82" s="96"/>
    </row>
    <row r="83" spans="2:8" outlineLevel="1" x14ac:dyDescent="0.25">
      <c r="D83" s="111" t="s">
        <v>209</v>
      </c>
      <c r="E83" s="96"/>
      <c r="F83" s="96"/>
      <c r="G83" s="96"/>
      <c r="H83" s="96"/>
    </row>
    <row r="84" spans="2:8" outlineLevel="1" x14ac:dyDescent="0.25">
      <c r="D84" s="114" t="s">
        <v>210</v>
      </c>
      <c r="E84" s="115"/>
      <c r="F84" s="115"/>
      <c r="G84" s="115"/>
      <c r="H84" s="115"/>
    </row>
    <row r="86" spans="2:8" collapsed="1" x14ac:dyDescent="0.25">
      <c r="D86" s="92" t="s">
        <v>213</v>
      </c>
      <c r="E86" s="97">
        <f>SUM(E87:E92)</f>
        <v>0</v>
      </c>
      <c r="F86" s="97">
        <f>SUM(F87:F92)</f>
        <v>1574000</v>
      </c>
      <c r="G86" s="97">
        <f t="shared" ref="G86:H86" si="3">SUM(G87:G92)</f>
        <v>1574000</v>
      </c>
      <c r="H86" s="97">
        <f t="shared" si="3"/>
        <v>0</v>
      </c>
    </row>
    <row r="87" spans="2:8" outlineLevel="1" x14ac:dyDescent="0.25">
      <c r="D87" s="112" t="str">
        <f>D96</f>
        <v>EMPRUNT LCL 734k€</v>
      </c>
      <c r="E87" s="113"/>
      <c r="F87" s="113">
        <v>734000</v>
      </c>
      <c r="G87" s="113">
        <v>734000</v>
      </c>
      <c r="H87" s="113"/>
    </row>
    <row r="88" spans="2:8" outlineLevel="1" x14ac:dyDescent="0.25">
      <c r="D88" s="111" t="str">
        <f>D97</f>
        <v>EMPRUNT SG 840 k€</v>
      </c>
      <c r="E88" s="96"/>
      <c r="F88" s="96">
        <v>840000</v>
      </c>
      <c r="G88" s="96">
        <v>840000</v>
      </c>
      <c r="H88" s="96"/>
    </row>
    <row r="89" spans="2:8" outlineLevel="1" x14ac:dyDescent="0.25">
      <c r="D89" s="111" t="s">
        <v>294</v>
      </c>
      <c r="E89" s="96"/>
      <c r="F89" s="96"/>
      <c r="G89" s="96"/>
      <c r="H89" s="96"/>
    </row>
    <row r="90" spans="2:8" outlineLevel="1" x14ac:dyDescent="0.25">
      <c r="D90" s="111" t="s">
        <v>214</v>
      </c>
      <c r="E90" s="96"/>
      <c r="F90" s="96"/>
      <c r="G90" s="96"/>
      <c r="H90" s="96"/>
    </row>
    <row r="91" spans="2:8" outlineLevel="1" x14ac:dyDescent="0.25">
      <c r="D91" s="111" t="s">
        <v>215</v>
      </c>
      <c r="E91" s="96"/>
      <c r="F91" s="96"/>
      <c r="G91" s="96"/>
      <c r="H91" s="96"/>
    </row>
    <row r="92" spans="2:8" outlineLevel="1" x14ac:dyDescent="0.25">
      <c r="D92" s="114" t="s">
        <v>216</v>
      </c>
      <c r="E92" s="115"/>
      <c r="F92" s="115"/>
      <c r="G92" s="115"/>
      <c r="H92" s="115"/>
    </row>
    <row r="95" spans="2:8" collapsed="1" x14ac:dyDescent="0.25">
      <c r="B95" s="158" t="s">
        <v>278</v>
      </c>
      <c r="C95" s="158" t="s">
        <v>277</v>
      </c>
      <c r="D95" s="92" t="s">
        <v>221</v>
      </c>
      <c r="E95" s="97">
        <f>SUM(E96:E107)</f>
        <v>1574000</v>
      </c>
      <c r="F95" s="97">
        <f>SUM(F96:F107)</f>
        <v>1621282</v>
      </c>
      <c r="G95" s="97">
        <f t="shared" ref="G95:H95" si="4">SUM(G96:G107)</f>
        <v>1520154</v>
      </c>
      <c r="H95" s="97">
        <f t="shared" si="4"/>
        <v>0</v>
      </c>
    </row>
    <row r="96" spans="2:8" outlineLevel="1" x14ac:dyDescent="0.25">
      <c r="B96">
        <v>2038</v>
      </c>
      <c r="C96" s="159">
        <v>4.5999999999999999E-2</v>
      </c>
      <c r="D96" s="112" t="s">
        <v>305</v>
      </c>
      <c r="E96" s="113">
        <v>734000</v>
      </c>
      <c r="F96" s="113">
        <v>724591</v>
      </c>
      <c r="G96" s="113">
        <v>685859</v>
      </c>
      <c r="H96" s="113"/>
    </row>
    <row r="97" spans="2:8" outlineLevel="1" x14ac:dyDescent="0.25">
      <c r="B97">
        <v>2038</v>
      </c>
      <c r="C97" s="159">
        <v>4.53E-2</v>
      </c>
      <c r="D97" s="111" t="s">
        <v>306</v>
      </c>
      <c r="E97" s="96">
        <v>840000</v>
      </c>
      <c r="F97" s="96">
        <v>836410</v>
      </c>
      <c r="G97" s="96">
        <v>792257</v>
      </c>
      <c r="H97" s="96"/>
    </row>
    <row r="98" spans="2:8" outlineLevel="1" x14ac:dyDescent="0.25">
      <c r="C98" s="159"/>
      <c r="D98" s="111" t="s">
        <v>291</v>
      </c>
      <c r="E98" s="96"/>
      <c r="F98" s="96"/>
      <c r="G98" s="96"/>
      <c r="H98" s="96"/>
    </row>
    <row r="99" spans="2:8" outlineLevel="1" x14ac:dyDescent="0.25">
      <c r="D99" s="111" t="s">
        <v>219</v>
      </c>
      <c r="E99" s="96"/>
      <c r="F99" s="96"/>
      <c r="G99" s="96"/>
      <c r="H99" s="96"/>
    </row>
    <row r="100" spans="2:8" outlineLevel="1" x14ac:dyDescent="0.25">
      <c r="D100" s="111" t="s">
        <v>220</v>
      </c>
      <c r="E100" s="96"/>
      <c r="F100" s="96">
        <v>41197</v>
      </c>
      <c r="G100" s="96">
        <v>42038</v>
      </c>
      <c r="H100" s="96"/>
    </row>
    <row r="101" spans="2:8" outlineLevel="1" x14ac:dyDescent="0.25">
      <c r="D101" s="111" t="s">
        <v>294</v>
      </c>
      <c r="E101" s="96"/>
      <c r="F101" s="96"/>
      <c r="G101" s="96"/>
      <c r="H101" s="96"/>
    </row>
    <row r="102" spans="2:8" outlineLevel="1" x14ac:dyDescent="0.25">
      <c r="D102" s="111" t="s">
        <v>214</v>
      </c>
      <c r="E102" s="96"/>
      <c r="F102" s="96">
        <v>2526</v>
      </c>
      <c r="G102" s="96"/>
      <c r="H102" s="96"/>
    </row>
    <row r="103" spans="2:8" outlineLevel="1" x14ac:dyDescent="0.25">
      <c r="D103" s="111" t="s">
        <v>215</v>
      </c>
      <c r="E103" s="96"/>
      <c r="F103" s="96"/>
      <c r="G103" s="96"/>
      <c r="H103" s="96"/>
    </row>
    <row r="104" spans="2:8" outlineLevel="1" x14ac:dyDescent="0.25">
      <c r="D104" s="111" t="s">
        <v>222</v>
      </c>
      <c r="E104" s="96"/>
      <c r="F104" s="96"/>
      <c r="G104" s="96"/>
      <c r="H104" s="96"/>
    </row>
    <row r="105" spans="2:8" outlineLevel="1" x14ac:dyDescent="0.25">
      <c r="D105" s="111" t="s">
        <v>224</v>
      </c>
      <c r="E105" s="96"/>
      <c r="F105" s="96">
        <v>9132</v>
      </c>
      <c r="G105" s="96"/>
      <c r="H105" s="96"/>
    </row>
    <row r="106" spans="2:8" outlineLevel="1" x14ac:dyDescent="0.25">
      <c r="D106" s="111" t="s">
        <v>223</v>
      </c>
      <c r="E106" s="96"/>
      <c r="F106" s="96"/>
      <c r="G106" s="96"/>
      <c r="H106" s="96"/>
    </row>
    <row r="107" spans="2:8" outlineLevel="1" x14ac:dyDescent="0.25">
      <c r="D107" s="114" t="s">
        <v>225</v>
      </c>
      <c r="E107" s="115"/>
      <c r="F107" s="115">
        <v>7426</v>
      </c>
      <c r="G107" s="115"/>
      <c r="H107" s="115"/>
    </row>
    <row r="109" spans="2:8" collapsed="1" x14ac:dyDescent="0.25">
      <c r="D109" s="92" t="s">
        <v>226</v>
      </c>
      <c r="E109" s="97">
        <f>SUM(E110:E119)</f>
        <v>0</v>
      </c>
      <c r="F109" s="97">
        <f>SUM(F110:F119)</f>
        <v>0</v>
      </c>
      <c r="G109" s="97">
        <f t="shared" ref="G109:H109" si="5">SUM(G110:G119)</f>
        <v>0</v>
      </c>
      <c r="H109" s="97">
        <f t="shared" si="5"/>
        <v>0</v>
      </c>
    </row>
    <row r="110" spans="2:8" x14ac:dyDescent="0.25">
      <c r="D110" s="112" t="s">
        <v>227</v>
      </c>
      <c r="E110" s="113"/>
      <c r="F110" s="113"/>
      <c r="G110" s="113"/>
      <c r="H110" s="113"/>
    </row>
    <row r="111" spans="2:8" outlineLevel="1" x14ac:dyDescent="0.25">
      <c r="D111" s="117" t="str">
        <f>D5</f>
        <v>Crèche Chennevières</v>
      </c>
      <c r="E111" s="118">
        <v>0</v>
      </c>
      <c r="F111" s="119">
        <v>0</v>
      </c>
      <c r="G111" s="119">
        <v>0</v>
      </c>
      <c r="H111" s="119"/>
    </row>
    <row r="112" spans="2:8" outlineLevel="1" x14ac:dyDescent="0.25">
      <c r="D112" s="120" t="str">
        <f t="shared" ref="D112:D120" si="6">D6</f>
        <v>Crèche Alforville</v>
      </c>
      <c r="E112" s="100">
        <v>0</v>
      </c>
      <c r="F112" s="95">
        <v>0</v>
      </c>
      <c r="G112" s="95">
        <v>0</v>
      </c>
      <c r="H112" s="95"/>
    </row>
    <row r="113" spans="4:8" outlineLevel="1" x14ac:dyDescent="0.25">
      <c r="D113" s="120" t="str">
        <f t="shared" si="6"/>
        <v>Location 3</v>
      </c>
      <c r="E113" s="100">
        <v>0</v>
      </c>
      <c r="F113" s="95">
        <v>0</v>
      </c>
      <c r="G113" s="95">
        <v>0</v>
      </c>
      <c r="H113" s="95"/>
    </row>
    <row r="114" spans="4:8" outlineLevel="1" x14ac:dyDescent="0.25">
      <c r="D114" s="120" t="str">
        <f t="shared" si="6"/>
        <v>Location 4</v>
      </c>
      <c r="E114" s="100">
        <v>0</v>
      </c>
      <c r="F114" s="95">
        <v>0</v>
      </c>
      <c r="G114" s="95">
        <v>0</v>
      </c>
      <c r="H114" s="95"/>
    </row>
    <row r="115" spans="4:8" outlineLevel="1" x14ac:dyDescent="0.25">
      <c r="D115" s="120" t="str">
        <f t="shared" si="6"/>
        <v>Location 5</v>
      </c>
      <c r="E115" s="100">
        <v>0</v>
      </c>
      <c r="F115" s="95">
        <v>0</v>
      </c>
      <c r="G115" s="95">
        <v>0</v>
      </c>
      <c r="H115" s="95"/>
    </row>
    <row r="116" spans="4:8" outlineLevel="1" x14ac:dyDescent="0.25">
      <c r="D116" s="120" t="str">
        <f t="shared" si="6"/>
        <v>Location 6</v>
      </c>
      <c r="E116" s="100">
        <v>0</v>
      </c>
      <c r="F116" s="95">
        <v>0</v>
      </c>
      <c r="G116" s="95">
        <v>0</v>
      </c>
      <c r="H116" s="95"/>
    </row>
    <row r="117" spans="4:8" outlineLevel="1" x14ac:dyDescent="0.25">
      <c r="D117" s="120" t="str">
        <f t="shared" si="6"/>
        <v>Location 7</v>
      </c>
      <c r="E117" s="100">
        <v>0</v>
      </c>
      <c r="F117" s="95">
        <v>0</v>
      </c>
      <c r="G117" s="95">
        <v>0</v>
      </c>
      <c r="H117" s="95"/>
    </row>
    <row r="118" spans="4:8" outlineLevel="1" x14ac:dyDescent="0.25">
      <c r="D118" s="120" t="str">
        <f t="shared" si="6"/>
        <v>Location 8</v>
      </c>
      <c r="E118" s="100">
        <v>0</v>
      </c>
      <c r="F118" s="95">
        <v>0</v>
      </c>
      <c r="G118" s="95">
        <v>0</v>
      </c>
      <c r="H118" s="95"/>
    </row>
    <row r="119" spans="4:8" outlineLevel="1" x14ac:dyDescent="0.25">
      <c r="D119" s="120" t="str">
        <f t="shared" si="6"/>
        <v>Location 9</v>
      </c>
      <c r="E119" s="100">
        <v>0</v>
      </c>
      <c r="F119" s="95">
        <v>0</v>
      </c>
      <c r="G119" s="95">
        <v>0</v>
      </c>
      <c r="H119" s="95"/>
    </row>
    <row r="120" spans="4:8" outlineLevel="1" x14ac:dyDescent="0.25">
      <c r="D120" s="120" t="str">
        <f t="shared" si="6"/>
        <v>Location 10</v>
      </c>
      <c r="E120" s="100">
        <v>0</v>
      </c>
      <c r="F120" s="95">
        <v>0</v>
      </c>
      <c r="G120" s="95">
        <v>0</v>
      </c>
      <c r="H120" s="95"/>
    </row>
    <row r="121" spans="4:8" x14ac:dyDescent="0.25">
      <c r="D121" s="112" t="s">
        <v>228</v>
      </c>
      <c r="E121" s="113"/>
      <c r="F121" s="113"/>
      <c r="G121" s="113"/>
      <c r="H121" s="113"/>
    </row>
    <row r="122" spans="4:8" outlineLevel="1" x14ac:dyDescent="0.25">
      <c r="D122" s="120" t="str">
        <f>D5</f>
        <v>Crèche Chennevières</v>
      </c>
      <c r="E122" s="100">
        <v>0</v>
      </c>
      <c r="F122" s="95">
        <v>0</v>
      </c>
      <c r="G122" s="95">
        <v>0</v>
      </c>
      <c r="H122" s="95"/>
    </row>
    <row r="123" spans="4:8" outlineLevel="1" x14ac:dyDescent="0.25">
      <c r="D123" s="120" t="str">
        <f t="shared" ref="D123:D131" si="7">D6</f>
        <v>Crèche Alforville</v>
      </c>
      <c r="E123" s="100">
        <v>0</v>
      </c>
      <c r="F123" s="95">
        <v>0</v>
      </c>
      <c r="G123" s="95">
        <v>0</v>
      </c>
      <c r="H123" s="95"/>
    </row>
    <row r="124" spans="4:8" outlineLevel="1" x14ac:dyDescent="0.25">
      <c r="D124" s="120" t="str">
        <f t="shared" si="7"/>
        <v>Location 3</v>
      </c>
      <c r="E124" s="100">
        <v>0</v>
      </c>
      <c r="F124" s="95">
        <v>0</v>
      </c>
      <c r="G124" s="95">
        <v>0</v>
      </c>
      <c r="H124" s="95"/>
    </row>
    <row r="125" spans="4:8" outlineLevel="1" x14ac:dyDescent="0.25">
      <c r="D125" s="120" t="str">
        <f t="shared" si="7"/>
        <v>Location 4</v>
      </c>
      <c r="E125" s="100">
        <v>0</v>
      </c>
      <c r="F125" s="95">
        <v>0</v>
      </c>
      <c r="G125" s="95">
        <v>0</v>
      </c>
      <c r="H125" s="95"/>
    </row>
    <row r="126" spans="4:8" outlineLevel="1" x14ac:dyDescent="0.25">
      <c r="D126" s="120" t="str">
        <f t="shared" si="7"/>
        <v>Location 5</v>
      </c>
      <c r="E126" s="100">
        <v>0</v>
      </c>
      <c r="F126" s="95">
        <v>0</v>
      </c>
      <c r="G126" s="95">
        <v>0</v>
      </c>
      <c r="H126" s="95"/>
    </row>
    <row r="127" spans="4:8" outlineLevel="1" x14ac:dyDescent="0.25">
      <c r="D127" s="120" t="str">
        <f t="shared" si="7"/>
        <v>Location 6</v>
      </c>
      <c r="E127" s="100">
        <v>0</v>
      </c>
      <c r="F127" s="95">
        <v>0</v>
      </c>
      <c r="G127" s="95">
        <v>0</v>
      </c>
      <c r="H127" s="95"/>
    </row>
    <row r="128" spans="4:8" outlineLevel="1" x14ac:dyDescent="0.25">
      <c r="D128" s="120" t="str">
        <f t="shared" si="7"/>
        <v>Location 7</v>
      </c>
      <c r="E128" s="100">
        <v>0</v>
      </c>
      <c r="F128" s="95">
        <v>0</v>
      </c>
      <c r="G128" s="95">
        <v>0</v>
      </c>
      <c r="H128" s="95"/>
    </row>
    <row r="129" spans="4:8" outlineLevel="1" x14ac:dyDescent="0.25">
      <c r="D129" s="120" t="str">
        <f t="shared" si="7"/>
        <v>Location 8</v>
      </c>
      <c r="E129" s="100">
        <v>0</v>
      </c>
      <c r="F129" s="95">
        <v>0</v>
      </c>
      <c r="G129" s="95">
        <v>0</v>
      </c>
      <c r="H129" s="95"/>
    </row>
    <row r="130" spans="4:8" outlineLevel="1" x14ac:dyDescent="0.25">
      <c r="D130" s="120" t="str">
        <f t="shared" si="7"/>
        <v>Location 9</v>
      </c>
      <c r="E130" s="100">
        <v>0</v>
      </c>
      <c r="F130" s="95">
        <v>0</v>
      </c>
      <c r="G130" s="95">
        <v>0</v>
      </c>
      <c r="H130" s="95"/>
    </row>
    <row r="131" spans="4:8" outlineLevel="1" x14ac:dyDescent="0.25">
      <c r="D131" s="121" t="str">
        <f t="shared" si="7"/>
        <v>Location 10</v>
      </c>
      <c r="E131" s="122">
        <v>0</v>
      </c>
      <c r="F131" s="123">
        <v>0</v>
      </c>
      <c r="G131" s="123">
        <v>0</v>
      </c>
      <c r="H131" s="123"/>
    </row>
    <row r="132" spans="4:8" x14ac:dyDescent="0.25">
      <c r="D132" s="116"/>
    </row>
    <row r="133" spans="4:8" x14ac:dyDescent="0.25">
      <c r="D133" s="116"/>
    </row>
    <row r="134" spans="4:8" x14ac:dyDescent="0.25">
      <c r="D134" s="116"/>
    </row>
  </sheetData>
  <mergeCells count="2">
    <mergeCell ref="A1:C1"/>
    <mergeCell ref="D29:D3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D3D8-5F9C-42B8-9362-7F28809D951F}">
  <dimension ref="A1:I135"/>
  <sheetViews>
    <sheetView topLeftCell="A11" zoomScale="90" zoomScaleNormal="90" workbookViewId="0">
      <selection activeCell="H60" sqref="H60"/>
    </sheetView>
  </sheetViews>
  <sheetFormatPr baseColWidth="10" defaultRowHeight="15" outlineLevelRow="1" x14ac:dyDescent="0.25"/>
  <cols>
    <col min="3" max="3" width="14" customWidth="1"/>
    <col min="4" max="4" width="67" customWidth="1"/>
    <col min="5" max="8" width="17.28515625" customWidth="1"/>
  </cols>
  <sheetData>
    <row r="1" spans="1:8" x14ac:dyDescent="0.25">
      <c r="A1" s="170" t="s">
        <v>311</v>
      </c>
      <c r="B1" s="170"/>
      <c r="C1" s="170"/>
    </row>
    <row r="4" spans="1:8" x14ac:dyDescent="0.25">
      <c r="C4" s="93" t="s">
        <v>199</v>
      </c>
      <c r="D4" s="93" t="s">
        <v>197</v>
      </c>
      <c r="E4" s="102">
        <v>2023</v>
      </c>
      <c r="F4" s="107">
        <v>2024</v>
      </c>
      <c r="G4" s="103">
        <v>2025</v>
      </c>
      <c r="H4" s="103">
        <v>2026</v>
      </c>
    </row>
    <row r="5" spans="1:8" x14ac:dyDescent="0.25">
      <c r="C5" s="108"/>
      <c r="D5" s="108" t="str">
        <f>BDD!G16</f>
        <v>Crèche Taverny</v>
      </c>
      <c r="F5" s="108"/>
      <c r="G5" s="104"/>
      <c r="H5" s="167">
        <f>BDD!S16</f>
        <v>67000</v>
      </c>
    </row>
    <row r="6" spans="1:8" x14ac:dyDescent="0.25">
      <c r="C6" s="108"/>
      <c r="D6" s="108" t="s">
        <v>309</v>
      </c>
      <c r="F6" s="108"/>
      <c r="G6" s="104"/>
      <c r="H6" s="104"/>
    </row>
    <row r="7" spans="1:8" x14ac:dyDescent="0.25">
      <c r="C7" s="108"/>
      <c r="D7" s="108" t="s">
        <v>285</v>
      </c>
      <c r="F7" s="108"/>
      <c r="G7" s="104"/>
      <c r="H7" s="104"/>
    </row>
    <row r="8" spans="1:8" x14ac:dyDescent="0.25">
      <c r="C8" s="108"/>
      <c r="D8" s="108" t="s">
        <v>286</v>
      </c>
      <c r="F8" s="108"/>
      <c r="G8" s="104"/>
      <c r="H8" s="104"/>
    </row>
    <row r="9" spans="1:8" x14ac:dyDescent="0.25">
      <c r="C9" s="108"/>
      <c r="D9" s="108" t="s">
        <v>287</v>
      </c>
      <c r="F9" s="108"/>
      <c r="G9" s="104"/>
      <c r="H9" s="104"/>
    </row>
    <row r="10" spans="1:8" x14ac:dyDescent="0.25">
      <c r="C10" s="108"/>
      <c r="D10" s="108" t="s">
        <v>288</v>
      </c>
      <c r="F10" s="108"/>
      <c r="G10" s="104"/>
      <c r="H10" s="104"/>
    </row>
    <row r="11" spans="1:8" outlineLevel="1" x14ac:dyDescent="0.25">
      <c r="C11" s="108"/>
      <c r="D11" s="108" t="s">
        <v>193</v>
      </c>
      <c r="F11" s="108"/>
      <c r="G11" s="104"/>
      <c r="H11" s="104"/>
    </row>
    <row r="12" spans="1:8" outlineLevel="1" x14ac:dyDescent="0.25">
      <c r="C12" s="108"/>
      <c r="D12" s="108" t="s">
        <v>194</v>
      </c>
      <c r="F12" s="108"/>
      <c r="G12" s="104"/>
      <c r="H12" s="104"/>
    </row>
    <row r="13" spans="1:8" outlineLevel="1" x14ac:dyDescent="0.25">
      <c r="C13" s="108"/>
      <c r="D13" s="108" t="s">
        <v>195</v>
      </c>
      <c r="F13" s="108"/>
      <c r="G13" s="104"/>
      <c r="H13" s="104"/>
    </row>
    <row r="14" spans="1:8" outlineLevel="1" x14ac:dyDescent="0.25">
      <c r="C14" s="109"/>
      <c r="D14" s="109" t="s">
        <v>196</v>
      </c>
      <c r="E14" s="105"/>
      <c r="F14" s="109"/>
      <c r="G14" s="106"/>
      <c r="H14" s="106"/>
    </row>
    <row r="16" spans="1:8" x14ac:dyDescent="0.25">
      <c r="D16" s="93" t="s">
        <v>198</v>
      </c>
      <c r="E16" s="107">
        <v>2023</v>
      </c>
      <c r="F16" s="107">
        <v>2024</v>
      </c>
      <c r="G16" s="107">
        <v>2025</v>
      </c>
      <c r="H16" s="107">
        <v>2026</v>
      </c>
    </row>
    <row r="17" spans="4:9" x14ac:dyDescent="0.25">
      <c r="D17" s="108" t="str">
        <f>D5</f>
        <v>Crèche Taverny</v>
      </c>
      <c r="E17" s="108"/>
      <c r="F17" s="108"/>
      <c r="G17" s="108"/>
      <c r="H17" s="108"/>
    </row>
    <row r="18" spans="4:9" x14ac:dyDescent="0.25">
      <c r="D18" s="108" t="str">
        <f t="shared" ref="D18:D26" si="0">D6</f>
        <v>Location 2</v>
      </c>
      <c r="E18" s="108"/>
      <c r="F18" s="108"/>
      <c r="G18" s="108"/>
      <c r="H18" s="108"/>
    </row>
    <row r="19" spans="4:9" x14ac:dyDescent="0.25">
      <c r="D19" s="108" t="str">
        <f t="shared" si="0"/>
        <v>Location 3</v>
      </c>
      <c r="E19" s="108"/>
      <c r="F19" s="108"/>
      <c r="G19" s="108"/>
      <c r="H19" s="108"/>
    </row>
    <row r="20" spans="4:9" x14ac:dyDescent="0.25">
      <c r="D20" s="108" t="str">
        <f t="shared" si="0"/>
        <v>Location 4</v>
      </c>
      <c r="E20" s="108"/>
      <c r="F20" s="108"/>
      <c r="G20" s="108"/>
      <c r="H20" s="108"/>
    </row>
    <row r="21" spans="4:9" x14ac:dyDescent="0.25">
      <c r="D21" s="108" t="str">
        <f t="shared" si="0"/>
        <v>Location 5</v>
      </c>
      <c r="E21" s="108"/>
      <c r="F21" s="108"/>
      <c r="G21" s="108"/>
      <c r="H21" s="108"/>
    </row>
    <row r="22" spans="4:9" x14ac:dyDescent="0.25">
      <c r="D22" s="108" t="str">
        <f t="shared" si="0"/>
        <v>Location 6</v>
      </c>
      <c r="E22" s="108"/>
      <c r="F22" s="108"/>
      <c r="G22" s="108"/>
      <c r="H22" s="108"/>
    </row>
    <row r="23" spans="4:9" outlineLevel="1" x14ac:dyDescent="0.25">
      <c r="D23" s="108" t="str">
        <f t="shared" si="0"/>
        <v>Location 7</v>
      </c>
      <c r="E23" s="108"/>
      <c r="F23" s="108"/>
      <c r="G23" s="108"/>
      <c r="H23" s="108"/>
    </row>
    <row r="24" spans="4:9" outlineLevel="1" x14ac:dyDescent="0.25">
      <c r="D24" s="108" t="str">
        <f t="shared" si="0"/>
        <v>Location 8</v>
      </c>
      <c r="E24" s="108"/>
      <c r="F24" s="108"/>
      <c r="G24" s="108"/>
      <c r="H24" s="108"/>
    </row>
    <row r="25" spans="4:9" outlineLevel="1" x14ac:dyDescent="0.25">
      <c r="D25" s="108" t="str">
        <f t="shared" si="0"/>
        <v>Location 9</v>
      </c>
      <c r="E25" s="108"/>
      <c r="F25" s="108"/>
      <c r="G25" s="108"/>
      <c r="H25" s="108"/>
    </row>
    <row r="26" spans="4:9" outlineLevel="1" x14ac:dyDescent="0.25">
      <c r="D26" s="109" t="str">
        <f t="shared" si="0"/>
        <v>Location 10</v>
      </c>
      <c r="E26" s="109"/>
      <c r="F26" s="109"/>
      <c r="G26" s="109"/>
      <c r="H26" s="109"/>
    </row>
    <row r="29" spans="4:9" x14ac:dyDescent="0.25">
      <c r="D29" s="171"/>
      <c r="E29" s="110">
        <v>2023</v>
      </c>
      <c r="F29" s="110">
        <v>2024</v>
      </c>
      <c r="G29" s="110">
        <v>2025</v>
      </c>
      <c r="H29" s="110">
        <v>2026</v>
      </c>
    </row>
    <row r="30" spans="4:9" x14ac:dyDescent="0.25">
      <c r="D30" s="172"/>
    </row>
    <row r="31" spans="4:9" ht="15" customHeight="1" x14ac:dyDescent="0.25">
      <c r="D31" s="93" t="s">
        <v>156</v>
      </c>
      <c r="E31" s="99">
        <f>SUM(E32:E35)</f>
        <v>0</v>
      </c>
      <c r="F31" s="94">
        <f>SUM(F32:F35)</f>
        <v>0</v>
      </c>
      <c r="G31" s="94">
        <f>SUM(G32:G35)</f>
        <v>0</v>
      </c>
      <c r="H31" s="94">
        <f>SUM(H32:H35)</f>
        <v>67000</v>
      </c>
    </row>
    <row r="32" spans="4:9" outlineLevel="1" x14ac:dyDescent="0.25">
      <c r="D32" s="86" t="s">
        <v>295</v>
      </c>
      <c r="E32" s="100"/>
      <c r="F32" s="95"/>
      <c r="G32" s="95"/>
      <c r="H32" s="95">
        <f>H5</f>
        <v>67000</v>
      </c>
      <c r="I32" s="162">
        <v>0.02</v>
      </c>
    </row>
    <row r="33" spans="4:9" outlineLevel="1" x14ac:dyDescent="0.25">
      <c r="D33" s="85" t="s">
        <v>157</v>
      </c>
      <c r="E33" s="100"/>
      <c r="F33" s="95"/>
      <c r="G33" s="95"/>
      <c r="H33" s="95">
        <f>G33*(1+I33)</f>
        <v>0</v>
      </c>
      <c r="I33" s="162">
        <v>0.02</v>
      </c>
    </row>
    <row r="34" spans="4:9" outlineLevel="1" x14ac:dyDescent="0.25">
      <c r="D34" s="86" t="s">
        <v>299</v>
      </c>
      <c r="E34" s="100"/>
      <c r="F34" s="95"/>
      <c r="G34" s="95"/>
      <c r="H34" s="95">
        <f>G34*(1+I34)</f>
        <v>0</v>
      </c>
      <c r="I34" s="162">
        <v>0.02</v>
      </c>
    </row>
    <row r="35" spans="4:9" outlineLevel="1" x14ac:dyDescent="0.25">
      <c r="D35" s="87" t="s">
        <v>154</v>
      </c>
      <c r="E35" s="100"/>
      <c r="F35" s="95"/>
      <c r="G35" s="95"/>
      <c r="H35" s="95">
        <f>G35*(1+I35)</f>
        <v>0</v>
      </c>
      <c r="I35" s="162">
        <v>0.02</v>
      </c>
    </row>
    <row r="36" spans="4:9" x14ac:dyDescent="0.25">
      <c r="D36" s="90" t="s">
        <v>158</v>
      </c>
      <c r="E36" s="98">
        <f>E37</f>
        <v>0</v>
      </c>
      <c r="F36" s="96">
        <f>F37</f>
        <v>0</v>
      </c>
      <c r="G36" s="96">
        <f>G37</f>
        <v>0</v>
      </c>
      <c r="H36" s="96">
        <f>H37</f>
        <v>0</v>
      </c>
      <c r="I36" s="162"/>
    </row>
    <row r="37" spans="4:9" outlineLevel="1" x14ac:dyDescent="0.25">
      <c r="D37" s="101" t="s">
        <v>159</v>
      </c>
      <c r="E37" s="100">
        <v>0</v>
      </c>
      <c r="F37" s="95"/>
      <c r="G37" s="95">
        <v>0</v>
      </c>
      <c r="H37" s="95"/>
      <c r="I37" s="162"/>
    </row>
    <row r="38" spans="4:9" x14ac:dyDescent="0.25">
      <c r="D38" s="92" t="s">
        <v>155</v>
      </c>
      <c r="E38" s="94">
        <f>E37+E31</f>
        <v>0</v>
      </c>
      <c r="F38" s="94">
        <f>F37+F31</f>
        <v>0</v>
      </c>
      <c r="G38" s="94">
        <f>G37+G31</f>
        <v>0</v>
      </c>
      <c r="H38" s="94">
        <f>H37+H31</f>
        <v>67000</v>
      </c>
      <c r="I38" s="162"/>
    </row>
    <row r="39" spans="4:9" x14ac:dyDescent="0.25">
      <c r="D39" s="90" t="s">
        <v>160</v>
      </c>
      <c r="E39" s="96">
        <f>SUM(E40:E54)</f>
        <v>20051</v>
      </c>
      <c r="F39" s="96">
        <f>SUM(F40:F54)</f>
        <v>117742</v>
      </c>
      <c r="G39" s="96">
        <f>SUM(G40:G54)</f>
        <v>11296</v>
      </c>
      <c r="H39" s="96">
        <f>SUM(H40:H54)</f>
        <v>11521.92</v>
      </c>
      <c r="I39" s="162"/>
    </row>
    <row r="40" spans="4:9" outlineLevel="1" x14ac:dyDescent="0.25">
      <c r="D40" s="85" t="s">
        <v>161</v>
      </c>
      <c r="E40" s="95"/>
      <c r="F40" s="95"/>
      <c r="G40" s="95"/>
      <c r="H40" s="95"/>
      <c r="I40" s="162">
        <v>0.02</v>
      </c>
    </row>
    <row r="41" spans="4:9" outlineLevel="1" x14ac:dyDescent="0.25">
      <c r="D41" s="85" t="s">
        <v>162</v>
      </c>
      <c r="E41" s="95"/>
      <c r="F41" s="95"/>
      <c r="G41" s="95"/>
      <c r="H41" s="95"/>
      <c r="I41" s="162">
        <v>0.02</v>
      </c>
    </row>
    <row r="42" spans="4:9" outlineLevel="1" x14ac:dyDescent="0.25">
      <c r="D42" s="85" t="s">
        <v>163</v>
      </c>
      <c r="E42" s="95"/>
      <c r="F42" s="95"/>
      <c r="G42" s="95"/>
      <c r="H42" s="95"/>
      <c r="I42" s="162">
        <v>0.02</v>
      </c>
    </row>
    <row r="43" spans="4:9" outlineLevel="1" x14ac:dyDescent="0.25">
      <c r="D43" s="85" t="s">
        <v>164</v>
      </c>
      <c r="E43" s="95"/>
      <c r="F43" s="95"/>
      <c r="G43" s="95"/>
      <c r="H43" s="95"/>
      <c r="I43" s="162">
        <v>0.02</v>
      </c>
    </row>
    <row r="44" spans="4:9" outlineLevel="1" x14ac:dyDescent="0.25">
      <c r="D44" s="85" t="s">
        <v>165</v>
      </c>
      <c r="E44" s="95"/>
      <c r="F44" s="95"/>
      <c r="G44" s="95"/>
      <c r="H44" s="95">
        <f>G44*(1+I44)</f>
        <v>0</v>
      </c>
      <c r="I44" s="162">
        <v>0.02</v>
      </c>
    </row>
    <row r="45" spans="4:9" outlineLevel="1" x14ac:dyDescent="0.25">
      <c r="D45" s="85" t="s">
        <v>166</v>
      </c>
      <c r="E45" s="95"/>
      <c r="F45" s="95"/>
      <c r="G45" s="95"/>
      <c r="H45" s="95"/>
      <c r="I45" s="162">
        <v>0.02</v>
      </c>
    </row>
    <row r="46" spans="4:9" outlineLevel="1" x14ac:dyDescent="0.25">
      <c r="D46" s="85" t="s">
        <v>167</v>
      </c>
      <c r="E46" s="95"/>
      <c r="F46" s="95"/>
      <c r="G46" s="95"/>
      <c r="H46" s="95"/>
      <c r="I46" s="162">
        <v>0.02</v>
      </c>
    </row>
    <row r="47" spans="4:9" outlineLevel="1" x14ac:dyDescent="0.25">
      <c r="D47" s="85" t="s">
        <v>168</v>
      </c>
      <c r="E47" s="95"/>
      <c r="F47" s="95">
        <v>4408</v>
      </c>
      <c r="G47" s="95">
        <v>4607</v>
      </c>
      <c r="H47" s="95">
        <f>G47*(1+I47)</f>
        <v>4699.1400000000003</v>
      </c>
      <c r="I47" s="162">
        <v>0.02</v>
      </c>
    </row>
    <row r="48" spans="4:9" outlineLevel="1" x14ac:dyDescent="0.25">
      <c r="D48" s="85" t="s">
        <v>169</v>
      </c>
      <c r="E48" s="95"/>
      <c r="F48" s="95"/>
      <c r="G48" s="95"/>
      <c r="H48" s="95"/>
      <c r="I48" s="162">
        <v>0.02</v>
      </c>
    </row>
    <row r="49" spans="4:9" outlineLevel="1" x14ac:dyDescent="0.25">
      <c r="D49" s="85" t="s">
        <v>170</v>
      </c>
      <c r="E49" s="95">
        <v>1836</v>
      </c>
      <c r="F49" s="95">
        <v>1123</v>
      </c>
      <c r="G49" s="95">
        <v>1123</v>
      </c>
      <c r="H49" s="95">
        <f>G49*(1+I49)</f>
        <v>1145.46</v>
      </c>
      <c r="I49" s="162">
        <v>0.02</v>
      </c>
    </row>
    <row r="50" spans="4:9" outlineLevel="1" x14ac:dyDescent="0.25">
      <c r="D50" s="85" t="s">
        <v>171</v>
      </c>
      <c r="E50" s="95">
        <v>1626</v>
      </c>
      <c r="F50" s="95">
        <v>315</v>
      </c>
      <c r="G50" s="95">
        <v>322</v>
      </c>
      <c r="H50" s="95">
        <f>G50*(1+I50)</f>
        <v>328.44</v>
      </c>
      <c r="I50" s="162">
        <v>0.02</v>
      </c>
    </row>
    <row r="51" spans="4:9" outlineLevel="1" x14ac:dyDescent="0.25">
      <c r="D51" s="85" t="s">
        <v>172</v>
      </c>
      <c r="E51" s="95">
        <v>7613</v>
      </c>
      <c r="F51" s="95">
        <v>73062</v>
      </c>
      <c r="G51" s="95">
        <v>4715</v>
      </c>
      <c r="H51" s="95">
        <f t="shared" ref="H51:H52" si="1">G51*(1+I51)</f>
        <v>4809.3</v>
      </c>
      <c r="I51" s="162">
        <v>0.02</v>
      </c>
    </row>
    <row r="52" spans="4:9" outlineLevel="1" x14ac:dyDescent="0.25">
      <c r="D52" s="85" t="s">
        <v>173</v>
      </c>
      <c r="E52" s="95"/>
      <c r="F52" s="95"/>
      <c r="G52" s="95"/>
      <c r="H52" s="95">
        <f t="shared" si="1"/>
        <v>0</v>
      </c>
      <c r="I52" s="162">
        <v>0.02</v>
      </c>
    </row>
    <row r="53" spans="4:9" outlineLevel="1" x14ac:dyDescent="0.25">
      <c r="D53" s="85" t="s">
        <v>174</v>
      </c>
      <c r="E53" s="95">
        <v>8892</v>
      </c>
      <c r="F53" s="95">
        <v>35736</v>
      </c>
      <c r="G53" s="95"/>
      <c r="H53" s="95"/>
      <c r="I53" s="162">
        <v>0.02</v>
      </c>
    </row>
    <row r="54" spans="4:9" outlineLevel="1" x14ac:dyDescent="0.25">
      <c r="D54" s="88" t="s">
        <v>175</v>
      </c>
      <c r="E54" s="95">
        <v>84</v>
      </c>
      <c r="F54" s="95">
        <v>3098</v>
      </c>
      <c r="G54" s="95">
        <v>529</v>
      </c>
      <c r="H54" s="95">
        <f>(G54)*(1+I54)</f>
        <v>539.58000000000004</v>
      </c>
      <c r="I54" s="162">
        <v>0.02</v>
      </c>
    </row>
    <row r="55" spans="4:9" x14ac:dyDescent="0.25">
      <c r="D55" s="90" t="s">
        <v>176</v>
      </c>
      <c r="E55" s="96">
        <f>E56+E57</f>
        <v>0</v>
      </c>
      <c r="F55" s="96">
        <f>F56+F57</f>
        <v>0</v>
      </c>
      <c r="G55" s="96">
        <f>G56+G57</f>
        <v>0</v>
      </c>
      <c r="H55" s="96">
        <f>H56+H57</f>
        <v>0</v>
      </c>
    </row>
    <row r="56" spans="4:9" outlineLevel="1" x14ac:dyDescent="0.25">
      <c r="D56" s="85" t="s">
        <v>177</v>
      </c>
      <c r="E56" s="95"/>
      <c r="F56" s="95"/>
      <c r="G56" s="95"/>
      <c r="H56" s="95">
        <f>G56*(1+I56)</f>
        <v>0</v>
      </c>
      <c r="I56" s="162">
        <v>0.02</v>
      </c>
    </row>
    <row r="57" spans="4:9" outlineLevel="1" x14ac:dyDescent="0.25">
      <c r="D57" s="88" t="s">
        <v>178</v>
      </c>
      <c r="E57" s="95"/>
      <c r="F57" s="95"/>
      <c r="G57" s="95"/>
      <c r="H57" s="95">
        <f>G57*(1+I57)</f>
        <v>0</v>
      </c>
    </row>
    <row r="58" spans="4:9" x14ac:dyDescent="0.25">
      <c r="D58" s="90" t="s">
        <v>179</v>
      </c>
      <c r="E58" s="96">
        <f>E59</f>
        <v>0</v>
      </c>
      <c r="F58" s="96">
        <f>F59</f>
        <v>0</v>
      </c>
      <c r="G58" s="96">
        <f>G59</f>
        <v>0</v>
      </c>
      <c r="H58" s="96">
        <f>H59</f>
        <v>47000</v>
      </c>
    </row>
    <row r="59" spans="4:9" outlineLevel="1" x14ac:dyDescent="0.25">
      <c r="D59" s="88" t="s">
        <v>180</v>
      </c>
      <c r="E59" s="95"/>
      <c r="F59" s="95"/>
      <c r="G59" s="95"/>
      <c r="H59" s="95">
        <f>H74/20</f>
        <v>47000</v>
      </c>
    </row>
    <row r="60" spans="4:9" x14ac:dyDescent="0.25">
      <c r="D60" s="90" t="s">
        <v>181</v>
      </c>
      <c r="E60" s="96">
        <f>E61</f>
        <v>0</v>
      </c>
      <c r="F60" s="96">
        <f>F61</f>
        <v>0</v>
      </c>
      <c r="G60" s="96">
        <f>G61</f>
        <v>0</v>
      </c>
      <c r="H60" s="96">
        <f>H61</f>
        <v>0</v>
      </c>
    </row>
    <row r="61" spans="4:9" outlineLevel="1" x14ac:dyDescent="0.25">
      <c r="D61" s="88" t="s">
        <v>182</v>
      </c>
      <c r="E61" s="95"/>
      <c r="F61" s="95"/>
      <c r="G61" s="95"/>
      <c r="H61" s="95"/>
    </row>
    <row r="62" spans="4:9" x14ac:dyDescent="0.25">
      <c r="D62" s="91" t="s">
        <v>186</v>
      </c>
      <c r="E62" s="94">
        <f>E60+E58+E55+E39</f>
        <v>20051</v>
      </c>
      <c r="F62" s="94">
        <f>F60+F58+F55+F39</f>
        <v>117742</v>
      </c>
      <c r="G62" s="94">
        <f>G60+G58+G55+G39</f>
        <v>11296</v>
      </c>
      <c r="H62" s="94">
        <f>H60+H58+H55+H39</f>
        <v>58521.919999999998</v>
      </c>
    </row>
    <row r="63" spans="4:9" x14ac:dyDescent="0.25">
      <c r="D63" s="92" t="s">
        <v>187</v>
      </c>
      <c r="E63" s="94">
        <f>E38-E62</f>
        <v>-20051</v>
      </c>
      <c r="F63" s="94">
        <f>F38-F62</f>
        <v>-117742</v>
      </c>
      <c r="G63" s="94">
        <f>G38-G62</f>
        <v>-11296</v>
      </c>
      <c r="H63" s="94">
        <f>H38-H62</f>
        <v>8478.0800000000017</v>
      </c>
    </row>
    <row r="64" spans="4:9" x14ac:dyDescent="0.25">
      <c r="D64" s="89" t="s">
        <v>183</v>
      </c>
      <c r="E64" s="96">
        <f>E65+E66</f>
        <v>0</v>
      </c>
      <c r="F64" s="96">
        <f>F65+F66</f>
        <v>32834</v>
      </c>
      <c r="G64" s="96">
        <f>G65+G66</f>
        <v>47743</v>
      </c>
      <c r="H64" s="96">
        <f>H65+H66</f>
        <v>65864.576720366909</v>
      </c>
    </row>
    <row r="65" spans="4:8" outlineLevel="1" x14ac:dyDescent="0.25">
      <c r="D65" s="85" t="s">
        <v>184</v>
      </c>
      <c r="E65" s="95"/>
      <c r="F65" s="95"/>
      <c r="G65" s="95"/>
      <c r="H65" s="95"/>
    </row>
    <row r="66" spans="4:8" outlineLevel="1" x14ac:dyDescent="0.25">
      <c r="D66" s="88" t="s">
        <v>185</v>
      </c>
      <c r="E66" s="95"/>
      <c r="F66" s="95">
        <v>32834</v>
      </c>
      <c r="G66" s="95">
        <v>47743</v>
      </c>
      <c r="H66" s="95">
        <f>-Emprunts!BH16</f>
        <v>65864.576720366909</v>
      </c>
    </row>
    <row r="67" spans="4:8" x14ac:dyDescent="0.25">
      <c r="D67" s="91" t="s">
        <v>188</v>
      </c>
      <c r="E67" s="94">
        <f>E64</f>
        <v>0</v>
      </c>
      <c r="F67" s="94">
        <f>F64</f>
        <v>32834</v>
      </c>
      <c r="G67" s="94">
        <f>G64</f>
        <v>47743</v>
      </c>
      <c r="H67" s="94">
        <f>H64</f>
        <v>65864.576720366909</v>
      </c>
    </row>
    <row r="68" spans="4:8" x14ac:dyDescent="0.25">
      <c r="D68" s="92" t="s">
        <v>189</v>
      </c>
      <c r="E68" s="94">
        <f>E67</f>
        <v>0</v>
      </c>
      <c r="F68" s="94">
        <f>F67</f>
        <v>32834</v>
      </c>
      <c r="G68" s="94">
        <f>G67</f>
        <v>47743</v>
      </c>
      <c r="H68" s="94">
        <f>H67</f>
        <v>65864.576720366909</v>
      </c>
    </row>
    <row r="69" spans="4:8" x14ac:dyDescent="0.25">
      <c r="D69" s="92" t="s">
        <v>190</v>
      </c>
      <c r="E69" s="97">
        <f>E63-E68</f>
        <v>-20051</v>
      </c>
      <c r="F69" s="97">
        <f>F63-F68</f>
        <v>-150576</v>
      </c>
      <c r="G69" s="97">
        <f>G63-G68</f>
        <v>-59039</v>
      </c>
      <c r="H69" s="97">
        <f>H63-H68</f>
        <v>-57386.496720366908</v>
      </c>
    </row>
    <row r="70" spans="4:8" outlineLevel="1" x14ac:dyDescent="0.25">
      <c r="D70" s="86" t="s">
        <v>191</v>
      </c>
      <c r="E70" s="95"/>
      <c r="F70" s="95"/>
      <c r="G70" s="95"/>
      <c r="H70" s="95"/>
    </row>
    <row r="71" spans="4:8" x14ac:dyDescent="0.25">
      <c r="D71" s="92" t="s">
        <v>192</v>
      </c>
      <c r="E71" s="97">
        <f>E69-E70</f>
        <v>-20051</v>
      </c>
      <c r="F71" s="97">
        <f>F69-F70</f>
        <v>-150576</v>
      </c>
      <c r="G71" s="97">
        <f>G69-G70</f>
        <v>-59039</v>
      </c>
      <c r="H71" s="97">
        <f>H69-H70</f>
        <v>-57386.496720366908</v>
      </c>
    </row>
    <row r="73" spans="4:8" collapsed="1" x14ac:dyDescent="0.25">
      <c r="D73" s="92" t="s">
        <v>211</v>
      </c>
      <c r="E73" s="97">
        <f>SUM(E74:E85)</f>
        <v>0</v>
      </c>
      <c r="F73" s="97">
        <f>SUM(F74:F85)</f>
        <v>869525</v>
      </c>
      <c r="G73" s="97">
        <f t="shared" ref="G73:H73" si="2">SUM(G74:G85)</f>
        <v>869525</v>
      </c>
      <c r="H73" s="97">
        <f t="shared" si="2"/>
        <v>940000</v>
      </c>
    </row>
    <row r="74" spans="4:8" outlineLevel="1" x14ac:dyDescent="0.25">
      <c r="D74" s="112" t="s">
        <v>307</v>
      </c>
      <c r="E74" s="113"/>
      <c r="F74" s="113">
        <v>869525</v>
      </c>
      <c r="G74" s="113">
        <v>869525</v>
      </c>
      <c r="H74" s="113">
        <v>940000</v>
      </c>
    </row>
    <row r="75" spans="4:8" outlineLevel="1" x14ac:dyDescent="0.25">
      <c r="D75" s="112" t="s">
        <v>200</v>
      </c>
      <c r="E75" s="113"/>
      <c r="F75" s="113"/>
      <c r="G75" s="113"/>
      <c r="H75" s="113"/>
    </row>
    <row r="76" spans="4:8" outlineLevel="1" x14ac:dyDescent="0.25">
      <c r="D76" s="111" t="s">
        <v>201</v>
      </c>
      <c r="E76" s="96"/>
      <c r="F76" s="96"/>
      <c r="G76" s="96"/>
      <c r="H76" s="96"/>
    </row>
    <row r="77" spans="4:8" outlineLevel="1" x14ac:dyDescent="0.25">
      <c r="D77" s="111" t="s">
        <v>202</v>
      </c>
      <c r="E77" s="96"/>
      <c r="F77" s="96"/>
      <c r="G77" s="96"/>
      <c r="H77" s="96"/>
    </row>
    <row r="78" spans="4:8" outlineLevel="1" x14ac:dyDescent="0.25">
      <c r="D78" s="111" t="s">
        <v>203</v>
      </c>
      <c r="E78" s="96"/>
      <c r="F78" s="96"/>
      <c r="G78" s="96"/>
      <c r="H78" s="96"/>
    </row>
    <row r="79" spans="4:8" outlineLevel="1" x14ac:dyDescent="0.25">
      <c r="D79" s="111" t="s">
        <v>204</v>
      </c>
      <c r="E79" s="96"/>
      <c r="F79" s="96"/>
      <c r="G79" s="96"/>
      <c r="H79" s="96"/>
    </row>
    <row r="80" spans="4:8" outlineLevel="1" x14ac:dyDescent="0.25">
      <c r="D80" s="111" t="s">
        <v>205</v>
      </c>
      <c r="E80" s="96"/>
      <c r="F80" s="96"/>
      <c r="G80" s="96"/>
      <c r="H80" s="96"/>
    </row>
    <row r="81" spans="2:8" outlineLevel="1" x14ac:dyDescent="0.25">
      <c r="D81" s="111" t="s">
        <v>206</v>
      </c>
      <c r="E81" s="96"/>
      <c r="F81" s="96"/>
      <c r="G81" s="96"/>
      <c r="H81" s="96"/>
    </row>
    <row r="82" spans="2:8" outlineLevel="1" x14ac:dyDescent="0.25">
      <c r="D82" s="111" t="s">
        <v>207</v>
      </c>
      <c r="E82" s="96"/>
      <c r="F82" s="96"/>
      <c r="G82" s="96"/>
      <c r="H82" s="96"/>
    </row>
    <row r="83" spans="2:8" outlineLevel="1" x14ac:dyDescent="0.25">
      <c r="D83" s="111" t="s">
        <v>208</v>
      </c>
      <c r="E83" s="96"/>
      <c r="F83" s="96"/>
      <c r="G83" s="96"/>
      <c r="H83" s="96"/>
    </row>
    <row r="84" spans="2:8" outlineLevel="1" x14ac:dyDescent="0.25">
      <c r="D84" s="111" t="s">
        <v>209</v>
      </c>
      <c r="E84" s="96"/>
      <c r="F84" s="96"/>
      <c r="G84" s="96"/>
      <c r="H84" s="96"/>
    </row>
    <row r="85" spans="2:8" outlineLevel="1" x14ac:dyDescent="0.25">
      <c r="D85" s="114" t="s">
        <v>210</v>
      </c>
      <c r="E85" s="115"/>
      <c r="F85" s="115"/>
      <c r="G85" s="115"/>
      <c r="H85" s="115"/>
    </row>
    <row r="87" spans="2:8" collapsed="1" x14ac:dyDescent="0.25">
      <c r="D87" s="92" t="s">
        <v>213</v>
      </c>
      <c r="E87" s="97">
        <f>SUM(E88:E93)</f>
        <v>1408923</v>
      </c>
      <c r="F87" s="97">
        <f>SUM(F88:F93)</f>
        <v>1408923</v>
      </c>
      <c r="G87" s="97">
        <f>G81-G82</f>
        <v>0</v>
      </c>
      <c r="H87" s="97">
        <f>H81-H82</f>
        <v>0</v>
      </c>
    </row>
    <row r="88" spans="2:8" outlineLevel="1" x14ac:dyDescent="0.25">
      <c r="D88" s="112" t="str">
        <f>D97</f>
        <v>EMPRUNT CE 1408k€</v>
      </c>
      <c r="E88" s="113">
        <v>1408923</v>
      </c>
      <c r="F88" s="113">
        <v>1408923</v>
      </c>
      <c r="G88" s="113">
        <v>1408923</v>
      </c>
      <c r="H88" s="113"/>
    </row>
    <row r="89" spans="2:8" outlineLevel="1" x14ac:dyDescent="0.25">
      <c r="D89" s="111" t="str">
        <f>D98</f>
        <v>Emprunt</v>
      </c>
      <c r="E89" s="96"/>
      <c r="F89" s="96"/>
      <c r="G89" s="96"/>
      <c r="H89" s="96"/>
    </row>
    <row r="90" spans="2:8" outlineLevel="1" x14ac:dyDescent="0.25">
      <c r="D90" s="111" t="s">
        <v>294</v>
      </c>
      <c r="E90" s="96"/>
      <c r="F90" s="96"/>
      <c r="G90" s="96"/>
      <c r="H90" s="96"/>
    </row>
    <row r="91" spans="2:8" outlineLevel="1" x14ac:dyDescent="0.25">
      <c r="D91" s="111" t="s">
        <v>214</v>
      </c>
      <c r="E91" s="96"/>
      <c r="F91" s="96"/>
      <c r="G91" s="96"/>
      <c r="H91" s="96"/>
    </row>
    <row r="92" spans="2:8" outlineLevel="1" x14ac:dyDescent="0.25">
      <c r="D92" s="111" t="s">
        <v>215</v>
      </c>
      <c r="E92" s="96"/>
      <c r="F92" s="96"/>
      <c r="G92" s="96"/>
      <c r="H92" s="96"/>
    </row>
    <row r="93" spans="2:8" outlineLevel="1" x14ac:dyDescent="0.25">
      <c r="D93" s="114" t="s">
        <v>216</v>
      </c>
      <c r="E93" s="115"/>
      <c r="F93" s="115"/>
      <c r="G93" s="115"/>
      <c r="H93" s="115"/>
    </row>
    <row r="96" spans="2:8" collapsed="1" x14ac:dyDescent="0.25">
      <c r="B96" s="158" t="s">
        <v>278</v>
      </c>
      <c r="C96" s="158" t="s">
        <v>277</v>
      </c>
      <c r="D96" s="92" t="s">
        <v>221</v>
      </c>
      <c r="E96" s="97">
        <f>SUM(E97:E108)</f>
        <v>509847</v>
      </c>
      <c r="F96" s="97">
        <f>SUM(F97:F108)</f>
        <v>1015216</v>
      </c>
      <c r="G96" s="97">
        <f t="shared" ref="G96:H96" si="3">SUM(G97:G108)</f>
        <v>940717</v>
      </c>
      <c r="H96" s="97">
        <f t="shared" si="3"/>
        <v>0</v>
      </c>
    </row>
    <row r="97" spans="2:8" outlineLevel="1" x14ac:dyDescent="0.25">
      <c r="B97">
        <v>2043</v>
      </c>
      <c r="C97" s="159">
        <v>4.9299999999999997E-2</v>
      </c>
      <c r="D97" s="112" t="s">
        <v>308</v>
      </c>
      <c r="E97" s="113">
        <v>472512</v>
      </c>
      <c r="F97" s="113">
        <v>940717</v>
      </c>
      <c r="G97" s="113">
        <v>940717</v>
      </c>
      <c r="H97" s="113"/>
    </row>
    <row r="98" spans="2:8" outlineLevel="1" x14ac:dyDescent="0.25">
      <c r="C98" s="159"/>
      <c r="D98" s="111" t="s">
        <v>291</v>
      </c>
      <c r="E98" s="96"/>
      <c r="F98" s="96"/>
      <c r="G98" s="96"/>
      <c r="H98" s="96"/>
    </row>
    <row r="99" spans="2:8" outlineLevel="1" x14ac:dyDescent="0.25">
      <c r="C99" s="159"/>
      <c r="D99" s="111" t="s">
        <v>291</v>
      </c>
      <c r="E99" s="96"/>
      <c r="F99" s="96"/>
      <c r="G99" s="96"/>
      <c r="H99" s="96"/>
    </row>
    <row r="100" spans="2:8" outlineLevel="1" x14ac:dyDescent="0.25">
      <c r="D100" s="111" t="s">
        <v>219</v>
      </c>
      <c r="E100" s="96"/>
      <c r="F100" s="96"/>
      <c r="G100" s="96"/>
      <c r="H100" s="96"/>
    </row>
    <row r="101" spans="2:8" outlineLevel="1" x14ac:dyDescent="0.25">
      <c r="D101" s="111" t="s">
        <v>220</v>
      </c>
      <c r="E101" s="96"/>
      <c r="F101" s="96"/>
      <c r="G101" s="96"/>
      <c r="H101" s="96"/>
    </row>
    <row r="102" spans="2:8" outlineLevel="1" x14ac:dyDescent="0.25">
      <c r="D102" s="111" t="s">
        <v>294</v>
      </c>
      <c r="E102" s="96">
        <v>750</v>
      </c>
      <c r="F102" s="96">
        <v>750</v>
      </c>
      <c r="G102" s="96"/>
      <c r="H102" s="96"/>
    </row>
    <row r="103" spans="2:8" outlineLevel="1" x14ac:dyDescent="0.25">
      <c r="D103" s="111" t="s">
        <v>214</v>
      </c>
      <c r="E103" s="96"/>
      <c r="F103" s="96">
        <v>18978</v>
      </c>
      <c r="G103" s="96"/>
      <c r="H103" s="96"/>
    </row>
    <row r="104" spans="2:8" outlineLevel="1" x14ac:dyDescent="0.25">
      <c r="D104" s="111" t="s">
        <v>215</v>
      </c>
      <c r="E104" s="96">
        <v>25510</v>
      </c>
      <c r="F104" s="96">
        <v>43487</v>
      </c>
      <c r="G104" s="96"/>
      <c r="H104" s="96"/>
    </row>
    <row r="105" spans="2:8" outlineLevel="1" x14ac:dyDescent="0.25">
      <c r="D105" s="111" t="s">
        <v>222</v>
      </c>
      <c r="E105" s="96"/>
      <c r="F105" s="96"/>
      <c r="G105" s="96"/>
      <c r="H105" s="96"/>
    </row>
    <row r="106" spans="2:8" outlineLevel="1" x14ac:dyDescent="0.25">
      <c r="D106" s="111" t="s">
        <v>224</v>
      </c>
      <c r="E106" s="96">
        <v>11075</v>
      </c>
      <c r="F106" s="96">
        <v>8043</v>
      </c>
      <c r="G106" s="96"/>
      <c r="H106" s="96"/>
    </row>
    <row r="107" spans="2:8" outlineLevel="1" x14ac:dyDescent="0.25">
      <c r="D107" s="111" t="s">
        <v>223</v>
      </c>
      <c r="E107" s="96"/>
      <c r="F107" s="96"/>
      <c r="G107" s="96"/>
      <c r="H107" s="96"/>
    </row>
    <row r="108" spans="2:8" outlineLevel="1" x14ac:dyDescent="0.25">
      <c r="D108" s="114" t="s">
        <v>225</v>
      </c>
      <c r="E108" s="115"/>
      <c r="F108" s="115">
        <v>3241</v>
      </c>
      <c r="G108" s="115"/>
      <c r="H108" s="115"/>
    </row>
    <row r="110" spans="2:8" collapsed="1" x14ac:dyDescent="0.25">
      <c r="D110" s="92" t="s">
        <v>226</v>
      </c>
      <c r="E110" s="97">
        <f>SUM(E111:E120)</f>
        <v>0</v>
      </c>
      <c r="F110" s="97">
        <f>SUM(F111:F120)</f>
        <v>0</v>
      </c>
      <c r="G110" s="97">
        <f t="shared" ref="G110:H110" si="4">SUM(G111:G120)</f>
        <v>0</v>
      </c>
      <c r="H110" s="97">
        <f t="shared" si="4"/>
        <v>0</v>
      </c>
    </row>
    <row r="111" spans="2:8" x14ac:dyDescent="0.25">
      <c r="D111" s="112" t="s">
        <v>227</v>
      </c>
      <c r="E111" s="113"/>
      <c r="F111" s="113"/>
      <c r="G111" s="113"/>
      <c r="H111" s="113"/>
    </row>
    <row r="112" spans="2:8" outlineLevel="1" x14ac:dyDescent="0.25">
      <c r="D112" s="117" t="str">
        <f>D5</f>
        <v>Crèche Taverny</v>
      </c>
      <c r="E112" s="118">
        <v>0</v>
      </c>
      <c r="F112" s="119">
        <v>0</v>
      </c>
      <c r="G112" s="119">
        <v>0</v>
      </c>
      <c r="H112" s="119"/>
    </row>
    <row r="113" spans="4:8" outlineLevel="1" x14ac:dyDescent="0.25">
      <c r="D113" s="120" t="str">
        <f t="shared" ref="D113:D121" si="5">D6</f>
        <v>Location 2</v>
      </c>
      <c r="E113" s="100">
        <v>0</v>
      </c>
      <c r="F113" s="95">
        <v>0</v>
      </c>
      <c r="G113" s="95">
        <v>0</v>
      </c>
      <c r="H113" s="95"/>
    </row>
    <row r="114" spans="4:8" outlineLevel="1" x14ac:dyDescent="0.25">
      <c r="D114" s="120" t="str">
        <f t="shared" si="5"/>
        <v>Location 3</v>
      </c>
      <c r="E114" s="100">
        <v>0</v>
      </c>
      <c r="F114" s="95">
        <v>0</v>
      </c>
      <c r="G114" s="95">
        <v>0</v>
      </c>
      <c r="H114" s="95"/>
    </row>
    <row r="115" spans="4:8" outlineLevel="1" x14ac:dyDescent="0.25">
      <c r="D115" s="120" t="str">
        <f t="shared" si="5"/>
        <v>Location 4</v>
      </c>
      <c r="E115" s="100">
        <v>0</v>
      </c>
      <c r="F115" s="95">
        <v>0</v>
      </c>
      <c r="G115" s="95">
        <v>0</v>
      </c>
      <c r="H115" s="95"/>
    </row>
    <row r="116" spans="4:8" outlineLevel="1" x14ac:dyDescent="0.25">
      <c r="D116" s="120" t="str">
        <f t="shared" si="5"/>
        <v>Location 5</v>
      </c>
      <c r="E116" s="100">
        <v>0</v>
      </c>
      <c r="F116" s="95">
        <v>0</v>
      </c>
      <c r="G116" s="95">
        <v>0</v>
      </c>
      <c r="H116" s="95"/>
    </row>
    <row r="117" spans="4:8" outlineLevel="1" x14ac:dyDescent="0.25">
      <c r="D117" s="120" t="str">
        <f t="shared" si="5"/>
        <v>Location 6</v>
      </c>
      <c r="E117" s="100">
        <v>0</v>
      </c>
      <c r="F117" s="95">
        <v>0</v>
      </c>
      <c r="G117" s="95">
        <v>0</v>
      </c>
      <c r="H117" s="95"/>
    </row>
    <row r="118" spans="4:8" outlineLevel="1" x14ac:dyDescent="0.25">
      <c r="D118" s="120" t="str">
        <f t="shared" si="5"/>
        <v>Location 7</v>
      </c>
      <c r="E118" s="100">
        <v>0</v>
      </c>
      <c r="F118" s="95">
        <v>0</v>
      </c>
      <c r="G118" s="95">
        <v>0</v>
      </c>
      <c r="H118" s="95"/>
    </row>
    <row r="119" spans="4:8" outlineLevel="1" x14ac:dyDescent="0.25">
      <c r="D119" s="120" t="str">
        <f t="shared" si="5"/>
        <v>Location 8</v>
      </c>
      <c r="E119" s="100">
        <v>0</v>
      </c>
      <c r="F119" s="95">
        <v>0</v>
      </c>
      <c r="G119" s="95">
        <v>0</v>
      </c>
      <c r="H119" s="95"/>
    </row>
    <row r="120" spans="4:8" outlineLevel="1" x14ac:dyDescent="0.25">
      <c r="D120" s="120" t="str">
        <f t="shared" si="5"/>
        <v>Location 9</v>
      </c>
      <c r="E120" s="100">
        <v>0</v>
      </c>
      <c r="F120" s="95">
        <v>0</v>
      </c>
      <c r="G120" s="95">
        <v>0</v>
      </c>
      <c r="H120" s="95"/>
    </row>
    <row r="121" spans="4:8" outlineLevel="1" x14ac:dyDescent="0.25">
      <c r="D121" s="120" t="str">
        <f t="shared" si="5"/>
        <v>Location 10</v>
      </c>
      <c r="E121" s="100">
        <v>0</v>
      </c>
      <c r="F121" s="95">
        <v>0</v>
      </c>
      <c r="G121" s="95">
        <v>0</v>
      </c>
      <c r="H121" s="95"/>
    </row>
    <row r="122" spans="4:8" x14ac:dyDescent="0.25">
      <c r="D122" s="112" t="s">
        <v>228</v>
      </c>
      <c r="E122" s="113"/>
      <c r="F122" s="113"/>
      <c r="G122" s="113"/>
      <c r="H122" s="113"/>
    </row>
    <row r="123" spans="4:8" outlineLevel="1" x14ac:dyDescent="0.25">
      <c r="D123" s="120" t="str">
        <f>D5</f>
        <v>Crèche Taverny</v>
      </c>
      <c r="E123" s="100">
        <v>0</v>
      </c>
      <c r="F123" s="95">
        <v>0</v>
      </c>
      <c r="G123" s="95">
        <v>0</v>
      </c>
      <c r="H123" s="95"/>
    </row>
    <row r="124" spans="4:8" outlineLevel="1" x14ac:dyDescent="0.25">
      <c r="D124" s="120" t="str">
        <f t="shared" ref="D124:D132" si="6">D6</f>
        <v>Location 2</v>
      </c>
      <c r="E124" s="100">
        <v>0</v>
      </c>
      <c r="F124" s="95">
        <v>0</v>
      </c>
      <c r="G124" s="95">
        <v>0</v>
      </c>
      <c r="H124" s="95"/>
    </row>
    <row r="125" spans="4:8" outlineLevel="1" x14ac:dyDescent="0.25">
      <c r="D125" s="120" t="str">
        <f t="shared" si="6"/>
        <v>Location 3</v>
      </c>
      <c r="E125" s="100">
        <v>0</v>
      </c>
      <c r="F125" s="95">
        <v>0</v>
      </c>
      <c r="G125" s="95">
        <v>0</v>
      </c>
      <c r="H125" s="95"/>
    </row>
    <row r="126" spans="4:8" outlineLevel="1" x14ac:dyDescent="0.25">
      <c r="D126" s="120" t="str">
        <f t="shared" si="6"/>
        <v>Location 4</v>
      </c>
      <c r="E126" s="100">
        <v>0</v>
      </c>
      <c r="F126" s="95">
        <v>0</v>
      </c>
      <c r="G126" s="95">
        <v>0</v>
      </c>
      <c r="H126" s="95"/>
    </row>
    <row r="127" spans="4:8" outlineLevel="1" x14ac:dyDescent="0.25">
      <c r="D127" s="120" t="str">
        <f t="shared" si="6"/>
        <v>Location 5</v>
      </c>
      <c r="E127" s="100">
        <v>0</v>
      </c>
      <c r="F127" s="95">
        <v>0</v>
      </c>
      <c r="G127" s="95">
        <v>0</v>
      </c>
      <c r="H127" s="95"/>
    </row>
    <row r="128" spans="4:8" outlineLevel="1" x14ac:dyDescent="0.25">
      <c r="D128" s="120" t="str">
        <f t="shared" si="6"/>
        <v>Location 6</v>
      </c>
      <c r="E128" s="100">
        <v>0</v>
      </c>
      <c r="F128" s="95">
        <v>0</v>
      </c>
      <c r="G128" s="95">
        <v>0</v>
      </c>
      <c r="H128" s="95"/>
    </row>
    <row r="129" spans="4:8" outlineLevel="1" x14ac:dyDescent="0.25">
      <c r="D129" s="120" t="str">
        <f t="shared" si="6"/>
        <v>Location 7</v>
      </c>
      <c r="E129" s="100">
        <v>0</v>
      </c>
      <c r="F129" s="95">
        <v>0</v>
      </c>
      <c r="G129" s="95">
        <v>0</v>
      </c>
      <c r="H129" s="95"/>
    </row>
    <row r="130" spans="4:8" outlineLevel="1" x14ac:dyDescent="0.25">
      <c r="D130" s="120" t="str">
        <f t="shared" si="6"/>
        <v>Location 8</v>
      </c>
      <c r="E130" s="100">
        <v>0</v>
      </c>
      <c r="F130" s="95">
        <v>0</v>
      </c>
      <c r="G130" s="95">
        <v>0</v>
      </c>
      <c r="H130" s="95"/>
    </row>
    <row r="131" spans="4:8" outlineLevel="1" x14ac:dyDescent="0.25">
      <c r="D131" s="120" t="str">
        <f t="shared" si="6"/>
        <v>Location 9</v>
      </c>
      <c r="E131" s="100">
        <v>0</v>
      </c>
      <c r="F131" s="95">
        <v>0</v>
      </c>
      <c r="G131" s="95">
        <v>0</v>
      </c>
      <c r="H131" s="95"/>
    </row>
    <row r="132" spans="4:8" outlineLevel="1" x14ac:dyDescent="0.25">
      <c r="D132" s="121" t="str">
        <f t="shared" si="6"/>
        <v>Location 10</v>
      </c>
      <c r="E132" s="122">
        <v>0</v>
      </c>
      <c r="F132" s="123">
        <v>0</v>
      </c>
      <c r="G132" s="123">
        <v>0</v>
      </c>
      <c r="H132" s="123"/>
    </row>
    <row r="133" spans="4:8" x14ac:dyDescent="0.25">
      <c r="D133" s="116"/>
    </row>
    <row r="134" spans="4:8" x14ac:dyDescent="0.25">
      <c r="D134" s="116"/>
    </row>
    <row r="135" spans="4:8" x14ac:dyDescent="0.25">
      <c r="D135" s="116"/>
    </row>
  </sheetData>
  <mergeCells count="2">
    <mergeCell ref="A1:C1"/>
    <mergeCell ref="D29:D30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E103-6BB1-4277-BC47-93FA6CE50E7D}">
  <dimension ref="A1:I134"/>
  <sheetViews>
    <sheetView tabSelected="1" topLeftCell="A35" zoomScale="90" zoomScaleNormal="90" workbookViewId="0">
      <selection activeCell="G60" sqref="G60"/>
    </sheetView>
  </sheetViews>
  <sheetFormatPr baseColWidth="10" defaultRowHeight="15" outlineLevelRow="1" x14ac:dyDescent="0.25"/>
  <cols>
    <col min="3" max="3" width="14" customWidth="1"/>
    <col min="4" max="4" width="67" customWidth="1"/>
    <col min="5" max="8" width="17.28515625" customWidth="1"/>
  </cols>
  <sheetData>
    <row r="1" spans="1:8" x14ac:dyDescent="0.25">
      <c r="A1" s="170" t="s">
        <v>312</v>
      </c>
      <c r="B1" s="170"/>
      <c r="C1" s="170"/>
    </row>
    <row r="4" spans="1:8" x14ac:dyDescent="0.25">
      <c r="C4" s="93" t="s">
        <v>199</v>
      </c>
      <c r="D4" s="93" t="s">
        <v>197</v>
      </c>
      <c r="E4" s="102">
        <v>2023</v>
      </c>
      <c r="F4" s="107">
        <v>2024</v>
      </c>
      <c r="G4" s="103">
        <v>2025</v>
      </c>
      <c r="H4" s="103">
        <v>2026</v>
      </c>
    </row>
    <row r="5" spans="1:8" x14ac:dyDescent="0.25">
      <c r="C5" s="108"/>
      <c r="D5" s="108" t="str">
        <f>BDD!G17</f>
        <v>Crèche Chatou</v>
      </c>
      <c r="F5" s="108"/>
      <c r="G5" s="104"/>
      <c r="H5" s="161">
        <f>BDD!S17</f>
        <v>84000</v>
      </c>
    </row>
    <row r="6" spans="1:8" x14ac:dyDescent="0.25">
      <c r="C6" s="108"/>
      <c r="D6" s="108" t="str">
        <f>BDD!G18</f>
        <v>Bureau au RDC</v>
      </c>
      <c r="F6" s="108"/>
      <c r="G6" s="104"/>
      <c r="H6" s="161">
        <f>BDD!S18</f>
        <v>10865.28</v>
      </c>
    </row>
    <row r="7" spans="1:8" x14ac:dyDescent="0.25">
      <c r="C7" s="108"/>
      <c r="D7" s="108" t="str">
        <f>BDD!G19</f>
        <v>Local professionnel</v>
      </c>
      <c r="F7" s="108"/>
      <c r="G7" s="104"/>
      <c r="H7" s="161">
        <f>BDD!S19</f>
        <v>3185</v>
      </c>
    </row>
    <row r="8" spans="1:8" x14ac:dyDescent="0.25">
      <c r="C8" s="108"/>
      <c r="D8" s="108" t="str">
        <f>BDD!G20</f>
        <v>Local professionnel</v>
      </c>
      <c r="F8" s="108"/>
      <c r="G8" s="104"/>
      <c r="H8" s="161">
        <f>BDD!S20</f>
        <v>11788.32</v>
      </c>
    </row>
    <row r="9" spans="1:8" x14ac:dyDescent="0.25">
      <c r="C9" s="108"/>
      <c r="D9" s="108" t="str">
        <f>BDD!G21</f>
        <v>Bureau au RDC</v>
      </c>
      <c r="F9" s="108"/>
      <c r="G9" s="104"/>
      <c r="H9" s="161">
        <f>BDD!S21</f>
        <v>7084</v>
      </c>
    </row>
    <row r="10" spans="1:8" x14ac:dyDescent="0.25">
      <c r="C10" s="108"/>
      <c r="D10" s="108" t="str">
        <f>BDD!G22</f>
        <v>Bureau au RDC</v>
      </c>
      <c r="F10" s="108"/>
      <c r="G10" s="104"/>
      <c r="H10" s="161">
        <f>BDD!S22</f>
        <v>8040.24</v>
      </c>
    </row>
    <row r="11" spans="1:8" hidden="1" outlineLevel="1" x14ac:dyDescent="0.25">
      <c r="C11" s="108"/>
      <c r="D11" s="108" t="str">
        <f>BDD!G23</f>
        <v>Crèche LPB</v>
      </c>
      <c r="F11" s="108"/>
      <c r="G11" s="104"/>
      <c r="H11" s="161">
        <f>BDD!S23</f>
        <v>80000</v>
      </c>
    </row>
    <row r="12" spans="1:8" hidden="1" outlineLevel="1" x14ac:dyDescent="0.25">
      <c r="C12" s="108"/>
      <c r="D12" s="108" t="s">
        <v>194</v>
      </c>
      <c r="F12" s="108"/>
      <c r="G12" s="104"/>
      <c r="H12" s="104"/>
    </row>
    <row r="13" spans="1:8" hidden="1" outlineLevel="1" x14ac:dyDescent="0.25">
      <c r="C13" s="108"/>
      <c r="D13" s="108" t="s">
        <v>195</v>
      </c>
      <c r="F13" s="108"/>
      <c r="G13" s="104"/>
      <c r="H13" s="104"/>
    </row>
    <row r="14" spans="1:8" hidden="1" outlineLevel="1" x14ac:dyDescent="0.25">
      <c r="C14" s="109"/>
      <c r="D14" s="109" t="s">
        <v>196</v>
      </c>
      <c r="E14" s="105"/>
      <c r="F14" s="109"/>
      <c r="G14" s="106"/>
      <c r="H14" s="106"/>
    </row>
    <row r="15" spans="1:8" collapsed="1" x14ac:dyDescent="0.25"/>
    <row r="16" spans="1:8" x14ac:dyDescent="0.25">
      <c r="D16" s="93" t="s">
        <v>198</v>
      </c>
      <c r="E16" s="107">
        <v>2023</v>
      </c>
      <c r="F16" s="107">
        <v>2024</v>
      </c>
      <c r="G16" s="107">
        <v>2025</v>
      </c>
      <c r="H16" s="107">
        <v>2026</v>
      </c>
    </row>
    <row r="17" spans="4:9" x14ac:dyDescent="0.25">
      <c r="D17" s="108" t="str">
        <f>D5</f>
        <v>Crèche Chatou</v>
      </c>
      <c r="E17" s="108"/>
      <c r="F17" s="108"/>
      <c r="G17" s="108"/>
      <c r="H17" s="108"/>
    </row>
    <row r="18" spans="4:9" x14ac:dyDescent="0.25">
      <c r="D18" s="108" t="str">
        <f t="shared" ref="D18:D26" si="0">D6</f>
        <v>Bureau au RDC</v>
      </c>
      <c r="E18" s="108"/>
      <c r="F18" s="108"/>
      <c r="G18" s="108"/>
      <c r="H18" s="108"/>
    </row>
    <row r="19" spans="4:9" x14ac:dyDescent="0.25">
      <c r="D19" s="108" t="str">
        <f t="shared" si="0"/>
        <v>Local professionnel</v>
      </c>
      <c r="E19" s="108"/>
      <c r="F19" s="108"/>
      <c r="G19" s="108"/>
      <c r="H19" s="108"/>
    </row>
    <row r="20" spans="4:9" x14ac:dyDescent="0.25">
      <c r="D20" s="108" t="str">
        <f t="shared" si="0"/>
        <v>Local professionnel</v>
      </c>
      <c r="E20" s="108"/>
      <c r="F20" s="108"/>
      <c r="G20" s="108"/>
      <c r="H20" s="108"/>
    </row>
    <row r="21" spans="4:9" x14ac:dyDescent="0.25">
      <c r="D21" s="108" t="str">
        <f t="shared" si="0"/>
        <v>Bureau au RDC</v>
      </c>
      <c r="E21" s="108"/>
      <c r="F21" s="108"/>
      <c r="G21" s="108"/>
      <c r="H21" s="108"/>
    </row>
    <row r="22" spans="4:9" x14ac:dyDescent="0.25">
      <c r="D22" s="108" t="str">
        <f t="shared" si="0"/>
        <v>Bureau au RDC</v>
      </c>
      <c r="E22" s="108"/>
      <c r="F22" s="108"/>
      <c r="G22" s="108"/>
      <c r="H22" s="108"/>
    </row>
    <row r="23" spans="4:9" hidden="1" outlineLevel="1" x14ac:dyDescent="0.25">
      <c r="D23" s="108" t="str">
        <f t="shared" si="0"/>
        <v>Crèche LPB</v>
      </c>
      <c r="E23" s="108"/>
      <c r="F23" s="108"/>
      <c r="G23" s="108"/>
      <c r="H23" s="108"/>
    </row>
    <row r="24" spans="4:9" hidden="1" outlineLevel="1" x14ac:dyDescent="0.25">
      <c r="D24" s="108" t="str">
        <f t="shared" si="0"/>
        <v>Location 8</v>
      </c>
      <c r="E24" s="108"/>
      <c r="F24" s="108"/>
      <c r="G24" s="108"/>
      <c r="H24" s="108"/>
    </row>
    <row r="25" spans="4:9" hidden="1" outlineLevel="1" x14ac:dyDescent="0.25">
      <c r="D25" s="108" t="str">
        <f t="shared" si="0"/>
        <v>Location 9</v>
      </c>
      <c r="E25" s="108"/>
      <c r="F25" s="108"/>
      <c r="G25" s="108"/>
      <c r="H25" s="108"/>
    </row>
    <row r="26" spans="4:9" hidden="1" outlineLevel="1" x14ac:dyDescent="0.25">
      <c r="D26" s="109" t="str">
        <f t="shared" si="0"/>
        <v>Location 10</v>
      </c>
      <c r="E26" s="109"/>
      <c r="F26" s="109"/>
      <c r="G26" s="109"/>
      <c r="H26" s="109"/>
    </row>
    <row r="27" spans="4:9" collapsed="1" x14ac:dyDescent="0.25"/>
    <row r="29" spans="4:9" x14ac:dyDescent="0.25">
      <c r="D29" s="171"/>
      <c r="E29" s="110">
        <v>2023</v>
      </c>
      <c r="F29" s="110">
        <v>2024</v>
      </c>
      <c r="G29" s="110">
        <v>2025</v>
      </c>
      <c r="H29" s="110">
        <v>2026</v>
      </c>
    </row>
    <row r="30" spans="4:9" x14ac:dyDescent="0.25">
      <c r="D30" s="172"/>
    </row>
    <row r="31" spans="4:9" ht="15" customHeight="1" x14ac:dyDescent="0.25">
      <c r="D31" s="93" t="s">
        <v>156</v>
      </c>
      <c r="E31" s="99">
        <f>SUM(E32:E35)</f>
        <v>4984</v>
      </c>
      <c r="F31" s="94">
        <f>SUM(F32:F35)</f>
        <v>73888</v>
      </c>
      <c r="G31" s="94">
        <f>SUM(G32:G35)</f>
        <v>229252</v>
      </c>
      <c r="H31" s="94">
        <f>SUM(H32:H35)</f>
        <v>244653.9768</v>
      </c>
    </row>
    <row r="32" spans="4:9" outlineLevel="1" x14ac:dyDescent="0.25">
      <c r="D32" s="86" t="s">
        <v>295</v>
      </c>
      <c r="E32" s="100"/>
      <c r="F32" s="95">
        <f>29127+26522</f>
        <v>55649</v>
      </c>
      <c r="G32" s="95">
        <v>170486</v>
      </c>
      <c r="H32" s="95">
        <f>G32*(1+I32)</f>
        <v>173895.72</v>
      </c>
      <c r="I32" s="162">
        <v>0.02</v>
      </c>
    </row>
    <row r="33" spans="4:9" outlineLevel="1" x14ac:dyDescent="0.25">
      <c r="D33" s="85" t="s">
        <v>157</v>
      </c>
      <c r="E33" s="100">
        <v>3534</v>
      </c>
      <c r="F33" s="95">
        <v>8049</v>
      </c>
      <c r="G33" s="95">
        <f>200844-G32</f>
        <v>30358</v>
      </c>
      <c r="H33" s="95">
        <f>SUM(H6:H10)*(1+I33)</f>
        <v>41782.096799999999</v>
      </c>
      <c r="I33" s="162">
        <v>0.02</v>
      </c>
    </row>
    <row r="34" spans="4:9" outlineLevel="1" x14ac:dyDescent="0.25">
      <c r="D34" s="86" t="s">
        <v>299</v>
      </c>
      <c r="E34" s="100"/>
      <c r="F34" s="95">
        <f>5752+2828</f>
        <v>8580</v>
      </c>
      <c r="G34" s="95">
        <v>24467</v>
      </c>
      <c r="H34" s="95">
        <f>G34*(1+I34)</f>
        <v>24956.34</v>
      </c>
      <c r="I34" s="162">
        <v>0.02</v>
      </c>
    </row>
    <row r="35" spans="4:9" outlineLevel="1" x14ac:dyDescent="0.25">
      <c r="D35" s="87" t="s">
        <v>154</v>
      </c>
      <c r="E35" s="100">
        <v>1450</v>
      </c>
      <c r="F35" s="95">
        <v>1610</v>
      </c>
      <c r="G35" s="95">
        <f>28408-G34</f>
        <v>3941</v>
      </c>
      <c r="H35" s="95">
        <f>G35*(1+I35)</f>
        <v>4019.82</v>
      </c>
      <c r="I35" s="162">
        <v>0.02</v>
      </c>
    </row>
    <row r="36" spans="4:9" x14ac:dyDescent="0.25">
      <c r="D36" s="90" t="s">
        <v>158</v>
      </c>
      <c r="E36" s="98">
        <f>E37</f>
        <v>0</v>
      </c>
      <c r="F36" s="96">
        <f>F37</f>
        <v>0</v>
      </c>
      <c r="G36" s="96">
        <f>G37</f>
        <v>0</v>
      </c>
      <c r="H36" s="96">
        <f>H37</f>
        <v>0</v>
      </c>
      <c r="I36" s="162"/>
    </row>
    <row r="37" spans="4:9" outlineLevel="1" x14ac:dyDescent="0.25">
      <c r="D37" s="101" t="s">
        <v>159</v>
      </c>
      <c r="E37" s="100">
        <v>0</v>
      </c>
      <c r="F37" s="95"/>
      <c r="G37" s="95">
        <v>0</v>
      </c>
      <c r="H37" s="95"/>
      <c r="I37" s="162"/>
    </row>
    <row r="38" spans="4:9" x14ac:dyDescent="0.25">
      <c r="D38" s="92" t="s">
        <v>155</v>
      </c>
      <c r="E38" s="94">
        <f>E37+E31</f>
        <v>4984</v>
      </c>
      <c r="F38" s="94">
        <f>F37+F31</f>
        <v>73888</v>
      </c>
      <c r="G38" s="94">
        <f>G37+G31</f>
        <v>229252</v>
      </c>
      <c r="H38" s="94">
        <f>H37+H31</f>
        <v>244653.9768</v>
      </c>
      <c r="I38" s="162"/>
    </row>
    <row r="39" spans="4:9" x14ac:dyDescent="0.25">
      <c r="D39" s="90" t="s">
        <v>160</v>
      </c>
      <c r="E39" s="96">
        <f>SUM(E40:E54)</f>
        <v>189144</v>
      </c>
      <c r="F39" s="96">
        <f>SUM(F40:F54)</f>
        <v>34964</v>
      </c>
      <c r="G39" s="96">
        <f>SUM(G40:G54)</f>
        <v>36411</v>
      </c>
      <c r="H39" s="96">
        <f>SUM(H40:H54)</f>
        <v>37057.620000000003</v>
      </c>
      <c r="I39" s="162"/>
    </row>
    <row r="40" spans="4:9" outlineLevel="1" x14ac:dyDescent="0.25">
      <c r="D40" s="85" t="s">
        <v>161</v>
      </c>
      <c r="E40" s="95"/>
      <c r="F40" s="95"/>
      <c r="G40" s="95"/>
      <c r="H40" s="95"/>
      <c r="I40" s="162">
        <v>0.02</v>
      </c>
    </row>
    <row r="41" spans="4:9" outlineLevel="1" x14ac:dyDescent="0.25">
      <c r="D41" s="85" t="s">
        <v>162</v>
      </c>
      <c r="E41" s="95"/>
      <c r="F41" s="95"/>
      <c r="G41" s="95"/>
      <c r="H41" s="95"/>
      <c r="I41" s="162">
        <v>0.02</v>
      </c>
    </row>
    <row r="42" spans="4:9" outlineLevel="1" x14ac:dyDescent="0.25">
      <c r="D42" s="85" t="s">
        <v>163</v>
      </c>
      <c r="E42" s="95"/>
      <c r="F42" s="95"/>
      <c r="G42" s="95"/>
      <c r="H42" s="95"/>
      <c r="I42" s="162">
        <v>0.02</v>
      </c>
    </row>
    <row r="43" spans="4:9" outlineLevel="1" x14ac:dyDescent="0.25">
      <c r="D43" s="85" t="s">
        <v>164</v>
      </c>
      <c r="E43" s="95"/>
      <c r="F43" s="95"/>
      <c r="G43" s="95">
        <v>80</v>
      </c>
      <c r="H43" s="95"/>
      <c r="I43" s="162">
        <v>0.02</v>
      </c>
    </row>
    <row r="44" spans="4:9" outlineLevel="1" x14ac:dyDescent="0.25">
      <c r="D44" s="85" t="s">
        <v>165</v>
      </c>
      <c r="E44" s="95">
        <v>5113</v>
      </c>
      <c r="F44" s="95">
        <v>8277</v>
      </c>
      <c r="G44" s="95">
        <v>9497</v>
      </c>
      <c r="H44" s="95">
        <f>G44*(1+I44)</f>
        <v>9686.94</v>
      </c>
      <c r="I44" s="162">
        <v>0.02</v>
      </c>
    </row>
    <row r="45" spans="4:9" outlineLevel="1" x14ac:dyDescent="0.25">
      <c r="D45" s="85" t="s">
        <v>166</v>
      </c>
      <c r="E45" s="95">
        <v>1602</v>
      </c>
      <c r="F45" s="95">
        <f>5942+3380</f>
        <v>9322</v>
      </c>
      <c r="G45" s="95">
        <v>8050</v>
      </c>
      <c r="H45" s="95">
        <f>G45*(1+I45)</f>
        <v>8211</v>
      </c>
      <c r="I45" s="162">
        <v>0.02</v>
      </c>
    </row>
    <row r="46" spans="4:9" outlineLevel="1" x14ac:dyDescent="0.25">
      <c r="D46" s="85" t="s">
        <v>167</v>
      </c>
      <c r="E46" s="95"/>
      <c r="F46" s="95"/>
      <c r="G46" s="95"/>
      <c r="H46" s="95"/>
      <c r="I46" s="162">
        <v>0.02</v>
      </c>
    </row>
    <row r="47" spans="4:9" outlineLevel="1" x14ac:dyDescent="0.25">
      <c r="D47" s="85" t="s">
        <v>168</v>
      </c>
      <c r="E47" s="95">
        <v>356</v>
      </c>
      <c r="F47" s="95">
        <v>961</v>
      </c>
      <c r="G47" s="95">
        <v>989</v>
      </c>
      <c r="H47" s="95">
        <f>G47*(1+I47)</f>
        <v>1008.78</v>
      </c>
      <c r="I47" s="162">
        <v>0.02</v>
      </c>
    </row>
    <row r="48" spans="4:9" outlineLevel="1" x14ac:dyDescent="0.25">
      <c r="D48" s="85" t="s">
        <v>169</v>
      </c>
      <c r="E48" s="95"/>
      <c r="F48" s="95"/>
      <c r="G48" s="95"/>
      <c r="H48" s="95"/>
      <c r="I48" s="162">
        <v>0.02</v>
      </c>
    </row>
    <row r="49" spans="4:9" outlineLevel="1" x14ac:dyDescent="0.25">
      <c r="D49" s="85" t="s">
        <v>170</v>
      </c>
      <c r="E49" s="95">
        <v>1836</v>
      </c>
      <c r="F49" s="95">
        <v>1440</v>
      </c>
      <c r="G49" s="95">
        <v>1498</v>
      </c>
      <c r="H49" s="95">
        <f>G49*(1+I49)</f>
        <v>1527.96</v>
      </c>
      <c r="I49" s="162">
        <v>0.02</v>
      </c>
    </row>
    <row r="50" spans="4:9" outlineLevel="1" x14ac:dyDescent="0.25">
      <c r="D50" s="85" t="s">
        <v>171</v>
      </c>
      <c r="E50" s="95">
        <v>2384</v>
      </c>
      <c r="F50" s="95">
        <v>306</v>
      </c>
      <c r="G50" s="95">
        <v>318</v>
      </c>
      <c r="H50" s="95">
        <f>G50*(1+I50)</f>
        <v>324.36</v>
      </c>
      <c r="I50" s="162">
        <v>0.02</v>
      </c>
    </row>
    <row r="51" spans="4:9" outlineLevel="1" x14ac:dyDescent="0.25">
      <c r="D51" s="85" t="s">
        <v>172</v>
      </c>
      <c r="E51" s="95">
        <v>13118</v>
      </c>
      <c r="F51" s="95">
        <v>12989</v>
      </c>
      <c r="G51" s="95">
        <v>14613</v>
      </c>
      <c r="H51" s="95">
        <f t="shared" ref="H51:H52" si="1">G51*(1+I51)</f>
        <v>14905.26</v>
      </c>
      <c r="I51" s="162">
        <v>0.02</v>
      </c>
    </row>
    <row r="52" spans="4:9" outlineLevel="1" x14ac:dyDescent="0.25">
      <c r="D52" s="85" t="s">
        <v>173</v>
      </c>
      <c r="E52" s="95"/>
      <c r="F52" s="95"/>
      <c r="G52" s="95"/>
      <c r="H52" s="95">
        <f t="shared" si="1"/>
        <v>0</v>
      </c>
      <c r="I52" s="162">
        <v>0.02</v>
      </c>
    </row>
    <row r="53" spans="4:9" outlineLevel="1" x14ac:dyDescent="0.25">
      <c r="D53" s="85" t="s">
        <v>174</v>
      </c>
      <c r="E53" s="95">
        <v>164592</v>
      </c>
      <c r="F53" s="95">
        <v>1030</v>
      </c>
      <c r="G53" s="95">
        <v>420</v>
      </c>
      <c r="H53" s="95">
        <f>(G53)*(1+I53)</f>
        <v>428.40000000000003</v>
      </c>
      <c r="I53" s="162">
        <v>0.02</v>
      </c>
    </row>
    <row r="54" spans="4:9" outlineLevel="1" x14ac:dyDescent="0.25">
      <c r="D54" s="88" t="s">
        <v>175</v>
      </c>
      <c r="E54" s="95">
        <v>143</v>
      </c>
      <c r="F54" s="95">
        <v>639</v>
      </c>
      <c r="G54" s="95">
        <v>946</v>
      </c>
      <c r="H54" s="95">
        <f>(G54)*(1+I54)</f>
        <v>964.92000000000007</v>
      </c>
      <c r="I54" s="162">
        <v>0.02</v>
      </c>
    </row>
    <row r="55" spans="4:9" x14ac:dyDescent="0.25">
      <c r="D55" s="90" t="s">
        <v>176</v>
      </c>
      <c r="E55" s="96">
        <f>E56+E57</f>
        <v>4684</v>
      </c>
      <c r="F55" s="96">
        <f>F56+F57</f>
        <v>12566</v>
      </c>
      <c r="G55" s="96">
        <f>G56+G57</f>
        <v>17274</v>
      </c>
      <c r="H55" s="96">
        <f>H56+H57</f>
        <v>17619.48</v>
      </c>
    </row>
    <row r="56" spans="4:9" hidden="1" outlineLevel="1" x14ac:dyDescent="0.25">
      <c r="D56" s="85" t="s">
        <v>177</v>
      </c>
      <c r="E56" s="95">
        <v>4684</v>
      </c>
      <c r="F56" s="95">
        <v>12566</v>
      </c>
      <c r="G56" s="95">
        <v>17274</v>
      </c>
      <c r="H56" s="95">
        <f>G56*(1+I56)</f>
        <v>17619.48</v>
      </c>
      <c r="I56" s="162">
        <v>0.02</v>
      </c>
    </row>
    <row r="57" spans="4:9" hidden="1" outlineLevel="1" x14ac:dyDescent="0.25">
      <c r="D57" s="88" t="s">
        <v>178</v>
      </c>
      <c r="E57" s="95"/>
      <c r="F57" s="95"/>
      <c r="G57" s="95"/>
      <c r="H57" s="95">
        <f>G57*(1+I57)</f>
        <v>0</v>
      </c>
    </row>
    <row r="58" spans="4:9" collapsed="1" x14ac:dyDescent="0.25">
      <c r="D58" s="90" t="s">
        <v>179</v>
      </c>
      <c r="E58" s="96">
        <f>E59</f>
        <v>16988</v>
      </c>
      <c r="F58" s="96">
        <f>F59</f>
        <v>61118</v>
      </c>
      <c r="G58" s="96">
        <f>G59</f>
        <v>61118</v>
      </c>
      <c r="H58" s="96">
        <f>H59</f>
        <v>61118</v>
      </c>
    </row>
    <row r="59" spans="4:9" outlineLevel="1" x14ac:dyDescent="0.25">
      <c r="D59" s="88" t="s">
        <v>180</v>
      </c>
      <c r="E59" s="95">
        <v>16988</v>
      </c>
      <c r="F59" s="95">
        <v>61118</v>
      </c>
      <c r="G59" s="160">
        <f>F59</f>
        <v>61118</v>
      </c>
      <c r="H59" s="95">
        <f>F59</f>
        <v>61118</v>
      </c>
    </row>
    <row r="60" spans="4:9" x14ac:dyDescent="0.25">
      <c r="D60" s="90" t="s">
        <v>181</v>
      </c>
      <c r="E60" s="96">
        <f>E61</f>
        <v>0</v>
      </c>
      <c r="F60" s="96">
        <f>F61</f>
        <v>0</v>
      </c>
      <c r="G60" s="96">
        <f>G61</f>
        <v>0</v>
      </c>
      <c r="H60" s="96">
        <f>H61</f>
        <v>0</v>
      </c>
    </row>
    <row r="61" spans="4:9" outlineLevel="1" x14ac:dyDescent="0.25">
      <c r="D61" s="88" t="s">
        <v>182</v>
      </c>
      <c r="E61" s="95"/>
      <c r="F61" s="95"/>
      <c r="G61" s="95"/>
      <c r="H61" s="95"/>
    </row>
    <row r="62" spans="4:9" x14ac:dyDescent="0.25">
      <c r="D62" s="91" t="s">
        <v>186</v>
      </c>
      <c r="E62" s="94">
        <f>E60+E58+E55+E39</f>
        <v>210816</v>
      </c>
      <c r="F62" s="94">
        <f>F60+F58+F55+F39</f>
        <v>108648</v>
      </c>
      <c r="G62" s="94">
        <f>G60+G58+G55+G39</f>
        <v>114803</v>
      </c>
      <c r="H62" s="94">
        <f>H60+H58+H55+H39</f>
        <v>115795.1</v>
      </c>
    </row>
    <row r="63" spans="4:9" x14ac:dyDescent="0.25">
      <c r="D63" s="92" t="s">
        <v>187</v>
      </c>
      <c r="E63" s="94">
        <f>E38-E62</f>
        <v>-205832</v>
      </c>
      <c r="F63" s="94">
        <f>F38-F62</f>
        <v>-34760</v>
      </c>
      <c r="G63" s="94">
        <f>G38-G62</f>
        <v>114449</v>
      </c>
      <c r="H63" s="94">
        <f>H38-H62</f>
        <v>128858.8768</v>
      </c>
    </row>
    <row r="64" spans="4:9" x14ac:dyDescent="0.25">
      <c r="D64" s="89" t="s">
        <v>183</v>
      </c>
      <c r="E64" s="96">
        <f>E65+E66</f>
        <v>40362</v>
      </c>
      <c r="F64" s="96">
        <f>F65+F66</f>
        <v>93845</v>
      </c>
      <c r="G64" s="96">
        <f>G65+G66</f>
        <v>89429</v>
      </c>
      <c r="H64" s="96">
        <f>H65+H66</f>
        <v>85135.127964723404</v>
      </c>
    </row>
    <row r="65" spans="4:8" outlineLevel="1" x14ac:dyDescent="0.25">
      <c r="D65" s="85" t="s">
        <v>184</v>
      </c>
      <c r="E65" s="95"/>
      <c r="F65" s="95"/>
      <c r="G65" s="95"/>
      <c r="H65" s="95"/>
    </row>
    <row r="66" spans="4:8" outlineLevel="1" x14ac:dyDescent="0.25">
      <c r="D66" s="88" t="s">
        <v>185</v>
      </c>
      <c r="E66" s="95">
        <v>40362</v>
      </c>
      <c r="F66" s="95">
        <v>93845</v>
      </c>
      <c r="G66" s="95">
        <v>89429</v>
      </c>
      <c r="H66" s="95">
        <f>-Emprunts!BH17-Emprunts!BH18</f>
        <v>85135.127964723404</v>
      </c>
    </row>
    <row r="67" spans="4:8" x14ac:dyDescent="0.25">
      <c r="D67" s="91" t="s">
        <v>188</v>
      </c>
      <c r="E67" s="94">
        <f>E64</f>
        <v>40362</v>
      </c>
      <c r="F67" s="94">
        <f>F64</f>
        <v>93845</v>
      </c>
      <c r="G67" s="94">
        <f>G64</f>
        <v>89429</v>
      </c>
      <c r="H67" s="94">
        <f>H64</f>
        <v>85135.127964723404</v>
      </c>
    </row>
    <row r="68" spans="4:8" x14ac:dyDescent="0.25">
      <c r="D68" s="92" t="s">
        <v>189</v>
      </c>
      <c r="E68" s="94">
        <f>E67</f>
        <v>40362</v>
      </c>
      <c r="F68" s="94">
        <f>F67</f>
        <v>93845</v>
      </c>
      <c r="G68" s="94">
        <f>G67</f>
        <v>89429</v>
      </c>
      <c r="H68" s="94">
        <f>H67</f>
        <v>85135.127964723404</v>
      </c>
    </row>
    <row r="69" spans="4:8" x14ac:dyDescent="0.25">
      <c r="D69" s="92" t="s">
        <v>190</v>
      </c>
      <c r="E69" s="97">
        <f>E63-E68</f>
        <v>-246194</v>
      </c>
      <c r="F69" s="97">
        <f>F63-F68</f>
        <v>-128605</v>
      </c>
      <c r="G69" s="97">
        <f>G63-G68</f>
        <v>25020</v>
      </c>
      <c r="H69" s="97">
        <f>H63-H68</f>
        <v>43723.748835276594</v>
      </c>
    </row>
    <row r="70" spans="4:8" outlineLevel="1" x14ac:dyDescent="0.25">
      <c r="D70" s="86" t="s">
        <v>191</v>
      </c>
      <c r="E70" s="95"/>
      <c r="F70" s="95"/>
      <c r="G70" s="95"/>
      <c r="H70" s="95"/>
    </row>
    <row r="71" spans="4:8" x14ac:dyDescent="0.25">
      <c r="D71" s="92" t="s">
        <v>192</v>
      </c>
      <c r="E71" s="97">
        <f>E69-E70</f>
        <v>-246194</v>
      </c>
      <c r="F71" s="97">
        <f>F69-F70</f>
        <v>-128605</v>
      </c>
      <c r="G71" s="97">
        <f>G69-G70</f>
        <v>25020</v>
      </c>
      <c r="H71" s="97">
        <f>H69-H70</f>
        <v>43723.748835276594</v>
      </c>
    </row>
    <row r="73" spans="4:8" collapsed="1" x14ac:dyDescent="0.25">
      <c r="D73" s="92" t="s">
        <v>211</v>
      </c>
      <c r="E73" s="97">
        <f>SUM(E74:E84)</f>
        <v>1200000</v>
      </c>
      <c r="F73" s="97">
        <f>SUM(F74:F84)</f>
        <v>2002676</v>
      </c>
      <c r="G73" s="97">
        <f t="shared" ref="G73:H73" si="2">SUM(G74:G84)</f>
        <v>2002676</v>
      </c>
      <c r="H73" s="97">
        <f t="shared" si="2"/>
        <v>0</v>
      </c>
    </row>
    <row r="74" spans="4:8" hidden="1" outlineLevel="1" x14ac:dyDescent="0.25">
      <c r="D74" s="112" t="s">
        <v>200</v>
      </c>
      <c r="E74" s="113">
        <v>360000</v>
      </c>
      <c r="F74" s="113">
        <v>582000</v>
      </c>
      <c r="G74" s="113">
        <v>582000</v>
      </c>
      <c r="H74" s="113"/>
    </row>
    <row r="75" spans="4:8" hidden="1" outlineLevel="1" x14ac:dyDescent="0.25">
      <c r="D75" s="111" t="s">
        <v>201</v>
      </c>
      <c r="E75" s="96"/>
      <c r="F75" s="96"/>
      <c r="G75" s="96"/>
      <c r="H75" s="96"/>
    </row>
    <row r="76" spans="4:8" hidden="1" outlineLevel="1" x14ac:dyDescent="0.25">
      <c r="D76" s="111" t="s">
        <v>202</v>
      </c>
      <c r="E76" s="96">
        <v>420000</v>
      </c>
      <c r="F76" s="96">
        <v>679000</v>
      </c>
      <c r="G76" s="96">
        <v>679000</v>
      </c>
      <c r="H76" s="96"/>
    </row>
    <row r="77" spans="4:8" hidden="1" outlineLevel="1" x14ac:dyDescent="0.25">
      <c r="D77" s="111" t="s">
        <v>203</v>
      </c>
      <c r="E77" s="96"/>
      <c r="F77" s="96"/>
      <c r="G77" s="96"/>
      <c r="H77" s="96"/>
    </row>
    <row r="78" spans="4:8" hidden="1" outlineLevel="1" x14ac:dyDescent="0.25">
      <c r="D78" s="111" t="s">
        <v>204</v>
      </c>
      <c r="E78" s="96">
        <v>210000</v>
      </c>
      <c r="F78" s="96">
        <v>339500</v>
      </c>
      <c r="G78" s="96">
        <v>339500</v>
      </c>
      <c r="H78" s="96"/>
    </row>
    <row r="79" spans="4:8" hidden="1" outlineLevel="1" x14ac:dyDescent="0.25">
      <c r="D79" s="111" t="s">
        <v>205</v>
      </c>
      <c r="E79" s="96"/>
      <c r="F79" s="96"/>
      <c r="G79" s="96"/>
      <c r="H79" s="96"/>
    </row>
    <row r="80" spans="4:8" hidden="1" outlineLevel="1" x14ac:dyDescent="0.25">
      <c r="D80" s="111" t="s">
        <v>206</v>
      </c>
      <c r="E80" s="96">
        <v>126000</v>
      </c>
      <c r="F80" s="96">
        <v>203700</v>
      </c>
      <c r="G80" s="96">
        <v>203700</v>
      </c>
      <c r="H80" s="96"/>
    </row>
    <row r="81" spans="2:8" hidden="1" outlineLevel="1" x14ac:dyDescent="0.25">
      <c r="D81" s="111" t="s">
        <v>207</v>
      </c>
      <c r="E81" s="96"/>
      <c r="F81" s="96"/>
      <c r="G81" s="96"/>
      <c r="H81" s="96"/>
    </row>
    <row r="82" spans="2:8" hidden="1" outlineLevel="1" x14ac:dyDescent="0.25">
      <c r="D82" s="111" t="s">
        <v>208</v>
      </c>
      <c r="E82" s="96">
        <v>84000</v>
      </c>
      <c r="F82" s="96">
        <v>135800</v>
      </c>
      <c r="G82" s="96">
        <v>135800</v>
      </c>
      <c r="H82" s="96"/>
    </row>
    <row r="83" spans="2:8" hidden="1" outlineLevel="1" x14ac:dyDescent="0.25">
      <c r="D83" s="111" t="s">
        <v>209</v>
      </c>
      <c r="E83" s="96"/>
      <c r="F83" s="96"/>
      <c r="G83" s="96"/>
      <c r="H83" s="96"/>
    </row>
    <row r="84" spans="2:8" hidden="1" outlineLevel="1" x14ac:dyDescent="0.25">
      <c r="D84" s="114" t="s">
        <v>210</v>
      </c>
      <c r="E84" s="115"/>
      <c r="F84" s="115">
        <v>62676</v>
      </c>
      <c r="G84" s="115">
        <v>62676</v>
      </c>
      <c r="H84" s="115"/>
    </row>
    <row r="85" spans="2:8" collapsed="1" x14ac:dyDescent="0.25"/>
    <row r="86" spans="2:8" collapsed="1" x14ac:dyDescent="0.25">
      <c r="D86" s="92" t="s">
        <v>213</v>
      </c>
      <c r="E86" s="97">
        <f>SUM(E87:E92)</f>
        <v>2132925</v>
      </c>
      <c r="F86" s="97">
        <f>SUM(F87:F92)</f>
        <v>2039279</v>
      </c>
      <c r="G86" s="97">
        <f>SUM(G87:G92)</f>
        <v>1940000</v>
      </c>
      <c r="H86" s="97">
        <f>H80-H81</f>
        <v>0</v>
      </c>
    </row>
    <row r="87" spans="2:8" hidden="1" outlineLevel="1" x14ac:dyDescent="0.25">
      <c r="D87" s="112" t="str">
        <f>D96</f>
        <v>EMPRUNT CE 1200k€</v>
      </c>
      <c r="E87" s="113">
        <v>1200000</v>
      </c>
      <c r="F87" s="113">
        <v>1200000</v>
      </c>
      <c r="G87" s="113">
        <v>1200000</v>
      </c>
      <c r="H87" s="113"/>
    </row>
    <row r="88" spans="2:8" hidden="1" outlineLevel="1" x14ac:dyDescent="0.25">
      <c r="D88" s="111" t="str">
        <f>D97</f>
        <v>EMPRUNT LCL 740k€</v>
      </c>
      <c r="E88" s="96">
        <v>740000</v>
      </c>
      <c r="F88" s="96">
        <v>740000</v>
      </c>
      <c r="G88" s="96">
        <v>740000</v>
      </c>
      <c r="H88" s="96"/>
    </row>
    <row r="89" spans="2:8" hidden="1" outlineLevel="1" x14ac:dyDescent="0.25">
      <c r="D89" s="111" t="s">
        <v>294</v>
      </c>
      <c r="E89" s="96"/>
      <c r="F89" s="96"/>
      <c r="G89" s="96"/>
      <c r="H89" s="96"/>
    </row>
    <row r="90" spans="2:8" hidden="1" outlineLevel="1" x14ac:dyDescent="0.25">
      <c r="D90" s="111" t="s">
        <v>214</v>
      </c>
      <c r="E90" s="96">
        <f>E102</f>
        <v>76751</v>
      </c>
      <c r="F90" s="96">
        <f>F102</f>
        <v>45678</v>
      </c>
      <c r="G90" s="96"/>
      <c r="H90" s="96"/>
    </row>
    <row r="91" spans="2:8" hidden="1" outlineLevel="1" x14ac:dyDescent="0.25">
      <c r="D91" s="111" t="s">
        <v>215</v>
      </c>
      <c r="E91" s="96">
        <f>E103</f>
        <v>116174</v>
      </c>
      <c r="F91" s="96">
        <f>F103</f>
        <v>53601</v>
      </c>
      <c r="G91" s="96"/>
      <c r="H91" s="96"/>
    </row>
    <row r="92" spans="2:8" hidden="1" outlineLevel="1" x14ac:dyDescent="0.25">
      <c r="D92" s="114" t="s">
        <v>216</v>
      </c>
      <c r="E92" s="115"/>
      <c r="F92" s="115"/>
      <c r="G92" s="115"/>
      <c r="H92" s="115"/>
    </row>
    <row r="93" spans="2:8" collapsed="1" x14ac:dyDescent="0.25"/>
    <row r="95" spans="2:8" collapsed="1" x14ac:dyDescent="0.25">
      <c r="B95" s="158" t="s">
        <v>278</v>
      </c>
      <c r="C95" s="158" t="s">
        <v>277</v>
      </c>
      <c r="D95" s="92" t="s">
        <v>221</v>
      </c>
      <c r="E95" s="97">
        <f>SUM(E96:E107)</f>
        <v>2192479</v>
      </c>
      <c r="F95" s="97">
        <f>SUM(F96:F107)</f>
        <v>2046752</v>
      </c>
      <c r="G95" s="97">
        <f t="shared" ref="G95:H95" si="3">SUM(G96:G107)</f>
        <v>1823796</v>
      </c>
      <c r="H95" s="97">
        <f t="shared" si="3"/>
        <v>0</v>
      </c>
    </row>
    <row r="96" spans="2:8" hidden="1" outlineLevel="1" x14ac:dyDescent="0.25">
      <c r="B96">
        <v>2039</v>
      </c>
      <c r="C96" s="159">
        <v>5.0999999999999997E-2</v>
      </c>
      <c r="D96" s="112" t="s">
        <v>315</v>
      </c>
      <c r="E96" s="113">
        <v>1200000</v>
      </c>
      <c r="F96" s="113">
        <v>1149972</v>
      </c>
      <c r="G96" s="113">
        <v>1092668</v>
      </c>
      <c r="H96" s="113"/>
    </row>
    <row r="97" spans="2:8" hidden="1" outlineLevel="1" x14ac:dyDescent="0.25">
      <c r="B97">
        <v>2039</v>
      </c>
      <c r="C97" s="159">
        <v>4.5999999999999999E-2</v>
      </c>
      <c r="D97" s="111" t="s">
        <v>316</v>
      </c>
      <c r="E97" s="96">
        <v>740000</v>
      </c>
      <c r="F97" s="96">
        <v>721809</v>
      </c>
      <c r="G97" s="96">
        <v>684153</v>
      </c>
      <c r="H97" s="96"/>
    </row>
    <row r="98" spans="2:8" hidden="1" outlineLevel="1" x14ac:dyDescent="0.25">
      <c r="C98" s="159"/>
      <c r="D98" s="111" t="s">
        <v>291</v>
      </c>
      <c r="E98" s="96"/>
      <c r="F98" s="96"/>
      <c r="G98" s="96"/>
      <c r="H98" s="96"/>
    </row>
    <row r="99" spans="2:8" hidden="1" outlineLevel="1" x14ac:dyDescent="0.25">
      <c r="D99" s="111" t="s">
        <v>219</v>
      </c>
      <c r="E99" s="96">
        <v>23811</v>
      </c>
      <c r="F99" s="96">
        <v>46007</v>
      </c>
      <c r="G99" s="96">
        <v>46975</v>
      </c>
      <c r="H99" s="96"/>
    </row>
    <row r="100" spans="2:8" hidden="1" outlineLevel="1" x14ac:dyDescent="0.25">
      <c r="D100" s="111" t="s">
        <v>220</v>
      </c>
      <c r="E100" s="96"/>
      <c r="F100" s="96"/>
      <c r="G100" s="96"/>
      <c r="H100" s="96"/>
    </row>
    <row r="101" spans="2:8" hidden="1" outlineLevel="1" x14ac:dyDescent="0.25">
      <c r="D101" s="111" t="s">
        <v>294</v>
      </c>
      <c r="E101" s="96">
        <v>750</v>
      </c>
      <c r="F101" s="96">
        <v>750</v>
      </c>
      <c r="G101" s="96"/>
      <c r="H101" s="96"/>
    </row>
    <row r="102" spans="2:8" hidden="1" outlineLevel="1" x14ac:dyDescent="0.25">
      <c r="D102" s="111" t="s">
        <v>214</v>
      </c>
      <c r="E102" s="96">
        <v>76751</v>
      </c>
      <c r="F102" s="96">
        <v>45678</v>
      </c>
      <c r="G102" s="96"/>
      <c r="H102" s="96"/>
    </row>
    <row r="103" spans="2:8" hidden="1" outlineLevel="1" x14ac:dyDescent="0.25">
      <c r="D103" s="111" t="s">
        <v>215</v>
      </c>
      <c r="E103" s="96">
        <v>116174</v>
      </c>
      <c r="F103" s="96">
        <v>53601</v>
      </c>
      <c r="G103" s="96"/>
      <c r="H103" s="96"/>
    </row>
    <row r="104" spans="2:8" hidden="1" outlineLevel="1" x14ac:dyDescent="0.25">
      <c r="D104" s="111" t="s">
        <v>222</v>
      </c>
      <c r="E104" s="96"/>
      <c r="F104" s="96"/>
      <c r="G104" s="96"/>
      <c r="H104" s="96"/>
    </row>
    <row r="105" spans="2:8" hidden="1" outlineLevel="1" x14ac:dyDescent="0.25">
      <c r="D105" s="111" t="s">
        <v>224</v>
      </c>
      <c r="E105" s="96">
        <v>26051</v>
      </c>
      <c r="F105" s="96">
        <v>20230</v>
      </c>
      <c r="G105" s="96"/>
      <c r="H105" s="96"/>
    </row>
    <row r="106" spans="2:8" hidden="1" outlineLevel="1" x14ac:dyDescent="0.25">
      <c r="D106" s="111" t="s">
        <v>223</v>
      </c>
      <c r="E106" s="96"/>
      <c r="F106" s="96"/>
      <c r="G106" s="96"/>
      <c r="H106" s="96"/>
    </row>
    <row r="107" spans="2:8" hidden="1" outlineLevel="1" x14ac:dyDescent="0.25">
      <c r="D107" s="114" t="s">
        <v>225</v>
      </c>
      <c r="E107" s="115">
        <v>8942</v>
      </c>
      <c r="F107" s="115">
        <v>8705</v>
      </c>
      <c r="G107" s="115"/>
      <c r="H107" s="115"/>
    </row>
    <row r="108" spans="2:8" collapsed="1" x14ac:dyDescent="0.25"/>
    <row r="109" spans="2:8" collapsed="1" x14ac:dyDescent="0.25">
      <c r="D109" s="92" t="s">
        <v>226</v>
      </c>
      <c r="E109" s="97">
        <f>SUM(E110:E119)</f>
        <v>0</v>
      </c>
      <c r="F109" s="97">
        <f>SUM(F110:F119)</f>
        <v>0</v>
      </c>
      <c r="G109" s="97">
        <f t="shared" ref="G109:H109" si="4">SUM(G110:G119)</f>
        <v>0</v>
      </c>
      <c r="H109" s="97">
        <f t="shared" si="4"/>
        <v>0</v>
      </c>
    </row>
    <row r="110" spans="2:8" x14ac:dyDescent="0.25">
      <c r="D110" s="112" t="s">
        <v>227</v>
      </c>
      <c r="E110" s="113"/>
      <c r="F110" s="113"/>
      <c r="G110" s="113"/>
      <c r="H110" s="113"/>
    </row>
    <row r="111" spans="2:8" hidden="1" outlineLevel="1" x14ac:dyDescent="0.25">
      <c r="D111" s="117" t="str">
        <f>D5</f>
        <v>Crèche Chatou</v>
      </c>
      <c r="E111" s="118">
        <v>0</v>
      </c>
      <c r="F111" s="119">
        <v>0</v>
      </c>
      <c r="G111" s="119">
        <v>0</v>
      </c>
      <c r="H111" s="119"/>
    </row>
    <row r="112" spans="2:8" hidden="1" outlineLevel="1" x14ac:dyDescent="0.25">
      <c r="D112" s="120" t="str">
        <f t="shared" ref="D112:D120" si="5">D6</f>
        <v>Bureau au RDC</v>
      </c>
      <c r="E112" s="100">
        <v>0</v>
      </c>
      <c r="F112" s="95">
        <v>0</v>
      </c>
      <c r="G112" s="95">
        <v>0</v>
      </c>
      <c r="H112" s="95"/>
    </row>
    <row r="113" spans="4:8" hidden="1" outlineLevel="1" x14ac:dyDescent="0.25">
      <c r="D113" s="120" t="str">
        <f t="shared" si="5"/>
        <v>Local professionnel</v>
      </c>
      <c r="E113" s="100">
        <v>0</v>
      </c>
      <c r="F113" s="95">
        <v>0</v>
      </c>
      <c r="G113" s="95">
        <v>0</v>
      </c>
      <c r="H113" s="95"/>
    </row>
    <row r="114" spans="4:8" hidden="1" outlineLevel="1" x14ac:dyDescent="0.25">
      <c r="D114" s="120" t="str">
        <f t="shared" si="5"/>
        <v>Local professionnel</v>
      </c>
      <c r="E114" s="100">
        <v>0</v>
      </c>
      <c r="F114" s="95">
        <v>0</v>
      </c>
      <c r="G114" s="95">
        <v>0</v>
      </c>
      <c r="H114" s="95"/>
    </row>
    <row r="115" spans="4:8" hidden="1" outlineLevel="1" x14ac:dyDescent="0.25">
      <c r="D115" s="120" t="str">
        <f t="shared" si="5"/>
        <v>Bureau au RDC</v>
      </c>
      <c r="E115" s="100">
        <v>0</v>
      </c>
      <c r="F115" s="95">
        <v>0</v>
      </c>
      <c r="G115" s="95">
        <v>0</v>
      </c>
      <c r="H115" s="95"/>
    </row>
    <row r="116" spans="4:8" hidden="1" outlineLevel="1" x14ac:dyDescent="0.25">
      <c r="D116" s="120" t="str">
        <f t="shared" si="5"/>
        <v>Bureau au RDC</v>
      </c>
      <c r="E116" s="100">
        <v>0</v>
      </c>
      <c r="F116" s="95">
        <v>0</v>
      </c>
      <c r="G116" s="95">
        <v>0</v>
      </c>
      <c r="H116" s="95"/>
    </row>
    <row r="117" spans="4:8" hidden="1" outlineLevel="1" x14ac:dyDescent="0.25">
      <c r="D117" s="120" t="str">
        <f t="shared" si="5"/>
        <v>Crèche LPB</v>
      </c>
      <c r="E117" s="100">
        <v>0</v>
      </c>
      <c r="F117" s="95">
        <v>0</v>
      </c>
      <c r="G117" s="95">
        <v>0</v>
      </c>
      <c r="H117" s="95"/>
    </row>
    <row r="118" spans="4:8" hidden="1" outlineLevel="1" x14ac:dyDescent="0.25">
      <c r="D118" s="120" t="str">
        <f t="shared" si="5"/>
        <v>Location 8</v>
      </c>
      <c r="E118" s="100">
        <v>0</v>
      </c>
      <c r="F118" s="95">
        <v>0</v>
      </c>
      <c r="G118" s="95">
        <v>0</v>
      </c>
      <c r="H118" s="95"/>
    </row>
    <row r="119" spans="4:8" hidden="1" outlineLevel="1" x14ac:dyDescent="0.25">
      <c r="D119" s="120" t="str">
        <f t="shared" si="5"/>
        <v>Location 9</v>
      </c>
      <c r="E119" s="100">
        <v>0</v>
      </c>
      <c r="F119" s="95">
        <v>0</v>
      </c>
      <c r="G119" s="95">
        <v>0</v>
      </c>
      <c r="H119" s="95"/>
    </row>
    <row r="120" spans="4:8" hidden="1" outlineLevel="1" x14ac:dyDescent="0.25">
      <c r="D120" s="120" t="str">
        <f t="shared" si="5"/>
        <v>Location 10</v>
      </c>
      <c r="E120" s="100">
        <v>0</v>
      </c>
      <c r="F120" s="95">
        <v>0</v>
      </c>
      <c r="G120" s="95">
        <v>0</v>
      </c>
      <c r="H120" s="95"/>
    </row>
    <row r="121" spans="4:8" collapsed="1" x14ac:dyDescent="0.25">
      <c r="D121" s="112" t="s">
        <v>228</v>
      </c>
      <c r="E121" s="113"/>
      <c r="F121" s="113"/>
      <c r="G121" s="113"/>
      <c r="H121" s="113"/>
    </row>
    <row r="122" spans="4:8" hidden="1" outlineLevel="1" x14ac:dyDescent="0.25">
      <c r="D122" s="120" t="str">
        <f>D5</f>
        <v>Crèche Chatou</v>
      </c>
      <c r="E122" s="100">
        <v>0</v>
      </c>
      <c r="F122" s="95">
        <v>0</v>
      </c>
      <c r="G122" s="95">
        <v>0</v>
      </c>
      <c r="H122" s="95"/>
    </row>
    <row r="123" spans="4:8" hidden="1" outlineLevel="1" x14ac:dyDescent="0.25">
      <c r="D123" s="120" t="str">
        <f t="shared" ref="D123:D131" si="6">D6</f>
        <v>Bureau au RDC</v>
      </c>
      <c r="E123" s="100">
        <v>0</v>
      </c>
      <c r="F123" s="95">
        <v>0</v>
      </c>
      <c r="G123" s="95">
        <v>0</v>
      </c>
      <c r="H123" s="95"/>
    </row>
    <row r="124" spans="4:8" hidden="1" outlineLevel="1" x14ac:dyDescent="0.25">
      <c r="D124" s="120" t="str">
        <f t="shared" si="6"/>
        <v>Local professionnel</v>
      </c>
      <c r="E124" s="100">
        <v>0</v>
      </c>
      <c r="F124" s="95">
        <v>0</v>
      </c>
      <c r="G124" s="95">
        <v>0</v>
      </c>
      <c r="H124" s="95"/>
    </row>
    <row r="125" spans="4:8" hidden="1" outlineLevel="1" x14ac:dyDescent="0.25">
      <c r="D125" s="120" t="str">
        <f t="shared" si="6"/>
        <v>Local professionnel</v>
      </c>
      <c r="E125" s="100">
        <v>0</v>
      </c>
      <c r="F125" s="95">
        <v>0</v>
      </c>
      <c r="G125" s="95">
        <v>0</v>
      </c>
      <c r="H125" s="95"/>
    </row>
    <row r="126" spans="4:8" hidden="1" outlineLevel="1" x14ac:dyDescent="0.25">
      <c r="D126" s="120" t="str">
        <f t="shared" si="6"/>
        <v>Bureau au RDC</v>
      </c>
      <c r="E126" s="100">
        <v>0</v>
      </c>
      <c r="F126" s="95">
        <v>0</v>
      </c>
      <c r="G126" s="95">
        <v>0</v>
      </c>
      <c r="H126" s="95"/>
    </row>
    <row r="127" spans="4:8" hidden="1" outlineLevel="1" x14ac:dyDescent="0.25">
      <c r="D127" s="120" t="str">
        <f t="shared" si="6"/>
        <v>Bureau au RDC</v>
      </c>
      <c r="E127" s="100">
        <v>0</v>
      </c>
      <c r="F127" s="95">
        <v>0</v>
      </c>
      <c r="G127" s="95">
        <v>0</v>
      </c>
      <c r="H127" s="95"/>
    </row>
    <row r="128" spans="4:8" hidden="1" outlineLevel="1" x14ac:dyDescent="0.25">
      <c r="D128" s="120" t="str">
        <f t="shared" si="6"/>
        <v>Crèche LPB</v>
      </c>
      <c r="E128" s="100">
        <v>0</v>
      </c>
      <c r="F128" s="95">
        <v>0</v>
      </c>
      <c r="G128" s="95">
        <v>0</v>
      </c>
      <c r="H128" s="95"/>
    </row>
    <row r="129" spans="4:8" hidden="1" outlineLevel="1" x14ac:dyDescent="0.25">
      <c r="D129" s="120" t="str">
        <f t="shared" si="6"/>
        <v>Location 8</v>
      </c>
      <c r="E129" s="100">
        <v>0</v>
      </c>
      <c r="F129" s="95">
        <v>0</v>
      </c>
      <c r="G129" s="95">
        <v>0</v>
      </c>
      <c r="H129" s="95"/>
    </row>
    <row r="130" spans="4:8" hidden="1" outlineLevel="1" x14ac:dyDescent="0.25">
      <c r="D130" s="120" t="str">
        <f t="shared" si="6"/>
        <v>Location 9</v>
      </c>
      <c r="E130" s="100">
        <v>0</v>
      </c>
      <c r="F130" s="95">
        <v>0</v>
      </c>
      <c r="G130" s="95">
        <v>0</v>
      </c>
      <c r="H130" s="95"/>
    </row>
    <row r="131" spans="4:8" hidden="1" outlineLevel="1" x14ac:dyDescent="0.25">
      <c r="D131" s="121" t="str">
        <f t="shared" si="6"/>
        <v>Location 10</v>
      </c>
      <c r="E131" s="122">
        <v>0</v>
      </c>
      <c r="F131" s="123">
        <v>0</v>
      </c>
      <c r="G131" s="123">
        <v>0</v>
      </c>
      <c r="H131" s="123"/>
    </row>
    <row r="132" spans="4:8" collapsed="1" x14ac:dyDescent="0.25">
      <c r="D132" s="116"/>
    </row>
    <row r="133" spans="4:8" x14ac:dyDescent="0.25">
      <c r="D133" s="116"/>
    </row>
    <row r="134" spans="4:8" x14ac:dyDescent="0.25">
      <c r="D134" s="116"/>
    </row>
  </sheetData>
  <mergeCells count="2">
    <mergeCell ref="A1:C1"/>
    <mergeCell ref="D29:D30"/>
  </mergeCells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6651-B508-4C62-B45D-33C258819D8E}">
  <dimension ref="A1:H134"/>
  <sheetViews>
    <sheetView topLeftCell="A49" zoomScale="90" zoomScaleNormal="90" workbookViewId="0">
      <selection activeCell="N103" sqref="N103"/>
    </sheetView>
  </sheetViews>
  <sheetFormatPr baseColWidth="10" defaultRowHeight="15" outlineLevelRow="1" x14ac:dyDescent="0.25"/>
  <cols>
    <col min="3" max="3" width="14" customWidth="1"/>
    <col min="4" max="4" width="67" customWidth="1"/>
    <col min="5" max="8" width="17.28515625" customWidth="1"/>
  </cols>
  <sheetData>
    <row r="1" spans="1:8" x14ac:dyDescent="0.25">
      <c r="A1" s="170" t="s">
        <v>276</v>
      </c>
      <c r="B1" s="170"/>
      <c r="C1" s="170"/>
    </row>
    <row r="4" spans="1:8" x14ac:dyDescent="0.25">
      <c r="C4" s="93" t="s">
        <v>199</v>
      </c>
      <c r="D4" s="93" t="s">
        <v>197</v>
      </c>
      <c r="E4" s="102">
        <v>2023</v>
      </c>
      <c r="F4" s="107">
        <v>2024</v>
      </c>
      <c r="G4" s="103">
        <v>2025</v>
      </c>
      <c r="H4" s="103">
        <v>2026</v>
      </c>
    </row>
    <row r="5" spans="1:8" x14ac:dyDescent="0.25">
      <c r="C5" s="108"/>
      <c r="D5" s="108" t="str">
        <f>BDD!D4&amp;" "&amp;BDD!G4</f>
        <v>DEUIL LA BARRE Crèche</v>
      </c>
      <c r="F5" s="108"/>
      <c r="G5" s="104"/>
      <c r="H5" s="104"/>
    </row>
    <row r="6" spans="1:8" x14ac:dyDescent="0.25">
      <c r="C6" s="108"/>
      <c r="D6" s="108" t="str">
        <f>BDD!D5&amp;" "&amp;BDD!G5</f>
        <v>DEUIL LA BARRE Ecole</v>
      </c>
      <c r="F6" s="108"/>
      <c r="G6" s="104"/>
      <c r="H6" s="104"/>
    </row>
    <row r="7" spans="1:8" x14ac:dyDescent="0.25">
      <c r="C7" s="108"/>
      <c r="D7" s="108" t="str">
        <f>BDD!D6&amp;" "&amp;BDD!G6</f>
        <v>DEUIL LA BARRE Logements 1 appartement avec terrasse et jardin RDC</v>
      </c>
      <c r="F7" s="108"/>
      <c r="G7" s="104"/>
      <c r="H7" s="104"/>
    </row>
    <row r="8" spans="1:8" x14ac:dyDescent="0.25">
      <c r="C8" s="108"/>
      <c r="D8" s="108" t="str">
        <f>BDD!D7&amp;" "&amp;BDD!G7</f>
        <v>DEUIL LA BARRE Logements 2 appartement RDC</v>
      </c>
      <c r="F8" s="108"/>
      <c r="G8" s="104"/>
      <c r="H8" s="104"/>
    </row>
    <row r="9" spans="1:8" x14ac:dyDescent="0.25">
      <c r="C9" s="108"/>
      <c r="D9" s="108" t="str">
        <f>BDD!D8&amp;" "&amp;BDD!G8</f>
        <v>DEUIL LA BARRE Logements 3 1er étage à droite</v>
      </c>
      <c r="F9" s="108"/>
      <c r="G9" s="104"/>
      <c r="H9" s="104"/>
    </row>
    <row r="10" spans="1:8" x14ac:dyDescent="0.25">
      <c r="C10" s="108"/>
      <c r="D10" s="108" t="str">
        <f>BDD!D9&amp;" "&amp;BDD!G9</f>
        <v>DEUIL LA BARRE Logements 4 1er étage à gauche</v>
      </c>
      <c r="F10" s="108"/>
      <c r="G10" s="104"/>
      <c r="H10" s="104"/>
    </row>
    <row r="11" spans="1:8" outlineLevel="1" x14ac:dyDescent="0.25">
      <c r="C11" s="108"/>
      <c r="D11" s="108" t="s">
        <v>193</v>
      </c>
      <c r="F11" s="108"/>
      <c r="G11" s="104"/>
      <c r="H11" s="104"/>
    </row>
    <row r="12" spans="1:8" outlineLevel="1" x14ac:dyDescent="0.25">
      <c r="C12" s="108"/>
      <c r="D12" s="108" t="s">
        <v>194</v>
      </c>
      <c r="F12" s="108"/>
      <c r="G12" s="104"/>
      <c r="H12" s="104"/>
    </row>
    <row r="13" spans="1:8" outlineLevel="1" x14ac:dyDescent="0.25">
      <c r="C13" s="108"/>
      <c r="D13" s="108" t="s">
        <v>195</v>
      </c>
      <c r="F13" s="108"/>
      <c r="G13" s="104"/>
      <c r="H13" s="104"/>
    </row>
    <row r="14" spans="1:8" outlineLevel="1" x14ac:dyDescent="0.25">
      <c r="C14" s="109"/>
      <c r="D14" s="109" t="s">
        <v>196</v>
      </c>
      <c r="E14" s="105"/>
      <c r="F14" s="109"/>
      <c r="G14" s="106"/>
      <c r="H14" s="106"/>
    </row>
    <row r="16" spans="1:8" x14ac:dyDescent="0.25">
      <c r="D16" s="93" t="s">
        <v>198</v>
      </c>
      <c r="E16" s="107">
        <v>2023</v>
      </c>
      <c r="F16" s="107">
        <v>2024</v>
      </c>
      <c r="G16" s="107">
        <v>2025</v>
      </c>
      <c r="H16" s="107">
        <v>2026</v>
      </c>
    </row>
    <row r="17" spans="4:8" x14ac:dyDescent="0.25">
      <c r="D17" s="108" t="str">
        <f>D5</f>
        <v>DEUIL LA BARRE Crèche</v>
      </c>
      <c r="E17" s="108"/>
      <c r="F17" s="108"/>
      <c r="G17" s="108"/>
      <c r="H17" s="108"/>
    </row>
    <row r="18" spans="4:8" x14ac:dyDescent="0.25">
      <c r="D18" s="108" t="str">
        <f t="shared" ref="D18:D26" si="0">D6</f>
        <v>DEUIL LA BARRE Ecole</v>
      </c>
      <c r="E18" s="108"/>
      <c r="F18" s="108"/>
      <c r="G18" s="108"/>
      <c r="H18" s="108"/>
    </row>
    <row r="19" spans="4:8" x14ac:dyDescent="0.25">
      <c r="D19" s="108" t="str">
        <f t="shared" si="0"/>
        <v>DEUIL LA BARRE Logements 1 appartement avec terrasse et jardin RDC</v>
      </c>
      <c r="E19" s="108"/>
      <c r="F19" s="108"/>
      <c r="G19" s="108"/>
      <c r="H19" s="108"/>
    </row>
    <row r="20" spans="4:8" x14ac:dyDescent="0.25">
      <c r="D20" s="108" t="str">
        <f t="shared" si="0"/>
        <v>DEUIL LA BARRE Logements 2 appartement RDC</v>
      </c>
      <c r="E20" s="108"/>
      <c r="F20" s="108"/>
      <c r="G20" s="108"/>
      <c r="H20" s="108"/>
    </row>
    <row r="21" spans="4:8" x14ac:dyDescent="0.25">
      <c r="D21" s="108" t="str">
        <f t="shared" si="0"/>
        <v>DEUIL LA BARRE Logements 3 1er étage à droite</v>
      </c>
      <c r="E21" s="108"/>
      <c r="F21" s="108"/>
      <c r="G21" s="108"/>
      <c r="H21" s="108"/>
    </row>
    <row r="22" spans="4:8" x14ac:dyDescent="0.25">
      <c r="D22" s="108" t="str">
        <f t="shared" si="0"/>
        <v>DEUIL LA BARRE Logements 4 1er étage à gauche</v>
      </c>
      <c r="E22" s="108"/>
      <c r="F22" s="108"/>
      <c r="G22" s="108"/>
      <c r="H22" s="108"/>
    </row>
    <row r="23" spans="4:8" hidden="1" outlineLevel="1" x14ac:dyDescent="0.25">
      <c r="D23" s="108" t="str">
        <f t="shared" si="0"/>
        <v>Location 7</v>
      </c>
      <c r="E23" s="108"/>
      <c r="F23" s="108"/>
      <c r="G23" s="108"/>
      <c r="H23" s="108"/>
    </row>
    <row r="24" spans="4:8" hidden="1" outlineLevel="1" x14ac:dyDescent="0.25">
      <c r="D24" s="108" t="str">
        <f t="shared" si="0"/>
        <v>Location 8</v>
      </c>
      <c r="E24" s="108"/>
      <c r="F24" s="108"/>
      <c r="G24" s="108"/>
      <c r="H24" s="108"/>
    </row>
    <row r="25" spans="4:8" hidden="1" outlineLevel="1" x14ac:dyDescent="0.25">
      <c r="D25" s="108" t="str">
        <f t="shared" si="0"/>
        <v>Location 9</v>
      </c>
      <c r="E25" s="108"/>
      <c r="F25" s="108"/>
      <c r="G25" s="108"/>
      <c r="H25" s="108"/>
    </row>
    <row r="26" spans="4:8" hidden="1" outlineLevel="1" x14ac:dyDescent="0.25">
      <c r="D26" s="109" t="str">
        <f t="shared" si="0"/>
        <v>Location 10</v>
      </c>
      <c r="E26" s="109"/>
      <c r="F26" s="109"/>
      <c r="G26" s="109"/>
      <c r="H26" s="109"/>
    </row>
    <row r="27" spans="4:8" collapsed="1" x14ac:dyDescent="0.25"/>
    <row r="29" spans="4:8" x14ac:dyDescent="0.25">
      <c r="D29" s="171"/>
      <c r="E29" s="110">
        <v>2023</v>
      </c>
      <c r="F29" s="110">
        <v>2024</v>
      </c>
      <c r="G29" s="110">
        <v>2025</v>
      </c>
      <c r="H29" s="110">
        <v>2026</v>
      </c>
    </row>
    <row r="30" spans="4:8" x14ac:dyDescent="0.25">
      <c r="D30" s="172"/>
    </row>
    <row r="31" spans="4:8" ht="15" customHeight="1" x14ac:dyDescent="0.25">
      <c r="D31" s="93" t="s">
        <v>156</v>
      </c>
      <c r="E31" s="99">
        <f>SUM(E32:E35)</f>
        <v>384377</v>
      </c>
      <c r="F31" s="94">
        <f>SUM(F32:F35)</f>
        <v>652375</v>
      </c>
      <c r="G31" s="94">
        <f>SUM(G32:G35)</f>
        <v>907670</v>
      </c>
      <c r="H31" s="94">
        <f>SUM(H32:H35)</f>
        <v>1003640.3367999999</v>
      </c>
    </row>
    <row r="32" spans="4:8" outlineLevel="1" x14ac:dyDescent="0.25">
      <c r="D32" s="86" t="s">
        <v>295</v>
      </c>
      <c r="E32" s="100">
        <f>'SCI 34 RUE HAUTE'!E32+'SCI LEGRAND'!E32+'SCI ARMEE ORIENT'!E32+'SCI CHENNEVIERES'!E32+'SCI TAVERNY'!E32+'SCI GENERAL JULES BRIMONT'!E32</f>
        <v>311210</v>
      </c>
      <c r="F32" s="100">
        <f>'SCI 34 RUE HAUTE'!F32+'SCI LEGRAND'!F32+'SCI ARMEE ORIENT'!F32+'SCI CHENNEVIERES'!F32+'SCI TAVERNY'!F32+'SCI GENERAL JULES BRIMONT'!F32</f>
        <v>461933</v>
      </c>
      <c r="G32" s="100">
        <f>'SCI 34 RUE HAUTE'!G32+'SCI LEGRAND'!G32+'SCI ARMEE ORIENT'!G32+'SCI CHENNEVIERES'!G32+'SCI TAVERNY'!G32+'SCI GENERAL JULES BRIMONT'!G32</f>
        <v>668092</v>
      </c>
      <c r="H32" s="100">
        <f>'SCI 34 RUE HAUTE'!H32+'SCI LEGRAND'!H32+'SCI ARMEE ORIENT'!H32+'SCI CHENNEVIERES'!H32+'SCI TAVERNY'!H32+'SCI GENERAL JULES BRIMONT'!H32</f>
        <v>748453.84</v>
      </c>
    </row>
    <row r="33" spans="4:8" outlineLevel="1" x14ac:dyDescent="0.25">
      <c r="D33" s="85" t="s">
        <v>157</v>
      </c>
      <c r="E33" s="100">
        <f>'SCI 34 RUE HAUTE'!E33+'SCI LEGRAND'!E33+'SCI ARMEE ORIENT'!E33+'SCI CHENNEVIERES'!E33+'SCI TAVERNY'!E33+'SCI GENERAL JULES BRIMONT'!E33</f>
        <v>7232</v>
      </c>
      <c r="F33" s="100">
        <f>'SCI 34 RUE HAUTE'!F33+'SCI LEGRAND'!F33+'SCI ARMEE ORIENT'!F33+'SCI CHENNEVIERES'!F33+'SCI TAVERNY'!F33+'SCI GENERAL JULES BRIMONT'!F33</f>
        <v>71477</v>
      </c>
      <c r="G33" s="100">
        <f>'SCI 34 RUE HAUTE'!G33+'SCI LEGRAND'!G33+'SCI ARMEE ORIENT'!G33+'SCI CHENNEVIERES'!G33+'SCI TAVERNY'!G33+'SCI GENERAL JULES BRIMONT'!G33</f>
        <v>106985</v>
      </c>
      <c r="H33" s="100">
        <f>'SCI 34 RUE HAUTE'!H33+'SCI LEGRAND'!H33+'SCI ARMEE ORIENT'!H33+'SCI CHENNEVIERES'!H33+'SCI TAVERNY'!H33+'SCI GENERAL JULES BRIMONT'!H33</f>
        <v>119941.63680000001</v>
      </c>
    </row>
    <row r="34" spans="4:8" outlineLevel="1" x14ac:dyDescent="0.25">
      <c r="D34" s="86" t="s">
        <v>299</v>
      </c>
      <c r="E34" s="100">
        <f>'SCI 34 RUE HAUTE'!E34+'SCI LEGRAND'!E34+'SCI ARMEE ORIENT'!E34+'SCI CHENNEVIERES'!E34+'SCI TAVERNY'!E34+'SCI GENERAL JULES BRIMONT'!E34</f>
        <v>64112</v>
      </c>
      <c r="F34" s="100">
        <f>'SCI 34 RUE HAUTE'!F34+'SCI LEGRAND'!F34+'SCI ARMEE ORIENT'!F34+'SCI CHENNEVIERES'!F34+'SCI TAVERNY'!F34+'SCI GENERAL JULES BRIMONT'!F34</f>
        <v>110856</v>
      </c>
      <c r="G34" s="100">
        <f>'SCI 34 RUE HAUTE'!G34+'SCI LEGRAND'!G34+'SCI ARMEE ORIENT'!G34+'SCI CHENNEVIERES'!G34+'SCI TAVERNY'!G34+'SCI GENERAL JULES BRIMONT'!G34</f>
        <v>119779</v>
      </c>
      <c r="H34" s="100">
        <f>'SCI 34 RUE HAUTE'!H34+'SCI LEGRAND'!H34+'SCI ARMEE ORIENT'!H34+'SCI CHENNEVIERES'!H34+'SCI TAVERNY'!H34+'SCI GENERAL JULES BRIMONT'!H34</f>
        <v>122174.58</v>
      </c>
    </row>
    <row r="35" spans="4:8" outlineLevel="1" x14ac:dyDescent="0.25">
      <c r="D35" s="87" t="s">
        <v>154</v>
      </c>
      <c r="E35" s="100">
        <f>'SCI 34 RUE HAUTE'!E35+'SCI LEGRAND'!E35+'SCI ARMEE ORIENT'!E35+'SCI CHENNEVIERES'!E35+'SCI TAVERNY'!E35+'SCI GENERAL JULES BRIMONT'!E35</f>
        <v>1823</v>
      </c>
      <c r="F35" s="100">
        <f>'SCI 34 RUE HAUTE'!F35+'SCI LEGRAND'!F35+'SCI ARMEE ORIENT'!F35+'SCI CHENNEVIERES'!F35+'SCI TAVERNY'!F35+'SCI GENERAL JULES BRIMONT'!F35</f>
        <v>8109</v>
      </c>
      <c r="G35" s="100">
        <f>'SCI 34 RUE HAUTE'!G35+'SCI LEGRAND'!G35+'SCI ARMEE ORIENT'!G35+'SCI CHENNEVIERES'!G35+'SCI TAVERNY'!G35+'SCI GENERAL JULES BRIMONT'!G35</f>
        <v>12814</v>
      </c>
      <c r="H35" s="100">
        <f>'SCI 34 RUE HAUTE'!H35+'SCI LEGRAND'!H35+'SCI ARMEE ORIENT'!H35+'SCI CHENNEVIERES'!H35+'SCI TAVERNY'!H35+'SCI GENERAL JULES BRIMONT'!H35</f>
        <v>13070.28</v>
      </c>
    </row>
    <row r="36" spans="4:8" x14ac:dyDescent="0.25">
      <c r="D36" s="90" t="s">
        <v>158</v>
      </c>
      <c r="E36" s="98">
        <f>E37</f>
        <v>0</v>
      </c>
      <c r="F36" s="96">
        <f>F37</f>
        <v>174</v>
      </c>
      <c r="G36" s="96">
        <f>G37</f>
        <v>4081</v>
      </c>
      <c r="H36" s="96">
        <f>H37</f>
        <v>0</v>
      </c>
    </row>
    <row r="37" spans="4:8" outlineLevel="1" x14ac:dyDescent="0.25">
      <c r="D37" s="101" t="s">
        <v>159</v>
      </c>
      <c r="E37" s="100">
        <f>'SCI 34 RUE HAUTE'!E37+'SCI LEGRAND'!E37+'SCI ARMEE ORIENT'!E37+'SCI CHENNEVIERES'!E37+'SCI TAVERNY'!E37+'SCI GENERAL JULES BRIMONT'!E37</f>
        <v>0</v>
      </c>
      <c r="F37" s="95">
        <f>'SCI 34 RUE HAUTE'!F37+'SCI LEGRAND'!F37+'SCI ARMEE ORIENT'!F37+'SCI CHENNEVIERES'!F37+'SCI TAVERNY'!F37+'SCI GENERAL JULES BRIMONT'!F37</f>
        <v>174</v>
      </c>
      <c r="G37" s="95">
        <f>'SCI 34 RUE HAUTE'!G37+'SCI LEGRAND'!G37+'SCI ARMEE ORIENT'!G37+'SCI CHENNEVIERES'!G37+'SCI TAVERNY'!G37+'SCI GENERAL JULES BRIMONT'!G37</f>
        <v>4081</v>
      </c>
      <c r="H37" s="95">
        <f>'SCI 34 RUE HAUTE'!H37+'SCI LEGRAND'!H37+'SCI ARMEE ORIENT'!H37+'SCI CHENNEVIERES'!H37+'SCI TAVERNY'!H37+'SCI GENERAL JULES BRIMONT'!H37</f>
        <v>0</v>
      </c>
    </row>
    <row r="38" spans="4:8" x14ac:dyDescent="0.25">
      <c r="D38" s="92" t="s">
        <v>155</v>
      </c>
      <c r="E38" s="94">
        <f>E37+E31</f>
        <v>384377</v>
      </c>
      <c r="F38" s="94">
        <f>F37+F31</f>
        <v>652549</v>
      </c>
      <c r="G38" s="94">
        <f>G37+G31</f>
        <v>911751</v>
      </c>
      <c r="H38" s="94">
        <f>H37+H31</f>
        <v>1003640.3367999999</v>
      </c>
    </row>
    <row r="39" spans="4:8" x14ac:dyDescent="0.25">
      <c r="D39" s="90" t="s">
        <v>160</v>
      </c>
      <c r="E39" s="96">
        <f>SUM(E40:E54)</f>
        <v>416764</v>
      </c>
      <c r="F39" s="96">
        <f>SUM(F40:F54)</f>
        <v>263673</v>
      </c>
      <c r="G39" s="96">
        <f>SUM(G40:G54)</f>
        <v>150407.07</v>
      </c>
      <c r="H39" s="96">
        <f>SUM(H40:H54)</f>
        <v>153015.1844</v>
      </c>
    </row>
    <row r="40" spans="4:8" outlineLevel="1" x14ac:dyDescent="0.25">
      <c r="D40" s="85" t="s">
        <v>161</v>
      </c>
      <c r="E40" s="95">
        <f>'SCI 34 RUE HAUTE'!E40+'SCI LEGRAND'!E40+'SCI ARMEE ORIENT'!E40+'SCI CHENNEVIERES'!E40+'SCI TAVERNY'!E40+'SCI GENERAL JULES BRIMONT'!E40</f>
        <v>1976</v>
      </c>
      <c r="F40" s="95">
        <f>'SCI 34 RUE HAUTE'!F40+'SCI LEGRAND'!F40+'SCI ARMEE ORIENT'!F40+'SCI CHENNEVIERES'!F40+'SCI TAVERNY'!F40+'SCI GENERAL JULES BRIMONT'!F40</f>
        <v>3206</v>
      </c>
      <c r="G40" s="95">
        <f>'SCI 34 RUE HAUTE'!G40+'SCI LEGRAND'!G40+'SCI ARMEE ORIENT'!G40+'SCI CHENNEVIERES'!G40+'SCI TAVERNY'!G40+'SCI GENERAL JULES BRIMONT'!G40</f>
        <v>1860.2</v>
      </c>
      <c r="H40" s="95">
        <f>'SCI 34 RUE HAUTE'!H40+'SCI LEGRAND'!H40+'SCI ARMEE ORIENT'!H40+'SCI CHENNEVIERES'!H40+'SCI TAVERNY'!H40+'SCI GENERAL JULES BRIMONT'!H40</f>
        <v>2394.348</v>
      </c>
    </row>
    <row r="41" spans="4:8" outlineLevel="1" x14ac:dyDescent="0.25">
      <c r="D41" s="85" t="s">
        <v>162</v>
      </c>
      <c r="E41" s="95">
        <f>'SCI 34 RUE HAUTE'!E41+'SCI LEGRAND'!E41+'SCI ARMEE ORIENT'!E41+'SCI CHENNEVIERES'!E41+'SCI TAVERNY'!E41+'SCI GENERAL JULES BRIMONT'!E41</f>
        <v>2562</v>
      </c>
      <c r="F41" s="95">
        <f>'SCI 34 RUE HAUTE'!F41+'SCI LEGRAND'!F41+'SCI ARMEE ORIENT'!F41+'SCI CHENNEVIERES'!F41+'SCI TAVERNY'!F41+'SCI GENERAL JULES BRIMONT'!F41</f>
        <v>3339</v>
      </c>
      <c r="G41" s="95">
        <f>'SCI 34 RUE HAUTE'!G41+'SCI LEGRAND'!G41+'SCI ARMEE ORIENT'!G41+'SCI CHENNEVIERES'!G41+'SCI TAVERNY'!G41+'SCI GENERAL JULES BRIMONT'!G41</f>
        <v>3387</v>
      </c>
      <c r="H41" s="95">
        <f>'SCI 34 RUE HAUTE'!H41+'SCI LEGRAND'!H41+'SCI ARMEE ORIENT'!H41+'SCI CHENNEVIERES'!H41+'SCI TAVERNY'!H41+'SCI GENERAL JULES BRIMONT'!H41</f>
        <v>3157.92</v>
      </c>
    </row>
    <row r="42" spans="4:8" outlineLevel="1" x14ac:dyDescent="0.25">
      <c r="D42" s="85" t="s">
        <v>163</v>
      </c>
      <c r="E42" s="95">
        <f>'SCI 34 RUE HAUTE'!E42+'SCI LEGRAND'!E42+'SCI ARMEE ORIENT'!E42+'SCI CHENNEVIERES'!E42+'SCI TAVERNY'!E42+'SCI GENERAL JULES BRIMONT'!E42</f>
        <v>894</v>
      </c>
      <c r="F42" s="95">
        <f>'SCI 34 RUE HAUTE'!F42+'SCI LEGRAND'!F42+'SCI ARMEE ORIENT'!F42+'SCI CHENNEVIERES'!F42+'SCI TAVERNY'!F42+'SCI GENERAL JULES BRIMONT'!F42</f>
        <v>328</v>
      </c>
      <c r="G42" s="95">
        <f>'SCI 34 RUE HAUTE'!G42+'SCI LEGRAND'!G42+'SCI ARMEE ORIENT'!G42+'SCI CHENNEVIERES'!G42+'SCI TAVERNY'!G42+'SCI GENERAL JULES BRIMONT'!G42</f>
        <v>0</v>
      </c>
      <c r="H42" s="95">
        <f>'SCI 34 RUE HAUTE'!H42+'SCI LEGRAND'!H42+'SCI ARMEE ORIENT'!H42+'SCI CHENNEVIERES'!H42+'SCI TAVERNY'!H42+'SCI GENERAL JULES BRIMONT'!H42</f>
        <v>623.22</v>
      </c>
    </row>
    <row r="43" spans="4:8" outlineLevel="1" x14ac:dyDescent="0.25">
      <c r="D43" s="85" t="s">
        <v>164</v>
      </c>
      <c r="E43" s="95">
        <f>'SCI 34 RUE HAUTE'!E43+'SCI LEGRAND'!E43+'SCI ARMEE ORIENT'!E43+'SCI CHENNEVIERES'!E43+'SCI TAVERNY'!E43+'SCI GENERAL JULES BRIMONT'!E43</f>
        <v>1510</v>
      </c>
      <c r="F43" s="95">
        <f>'SCI 34 RUE HAUTE'!F43+'SCI LEGRAND'!F43+'SCI ARMEE ORIENT'!F43+'SCI CHENNEVIERES'!F43+'SCI TAVERNY'!F43+'SCI GENERAL JULES BRIMONT'!F43</f>
        <v>0</v>
      </c>
      <c r="G43" s="95">
        <f>'SCI 34 RUE HAUTE'!G43+'SCI LEGRAND'!G43+'SCI ARMEE ORIENT'!G43+'SCI CHENNEVIERES'!G43+'SCI TAVERNY'!G43+'SCI GENERAL JULES BRIMONT'!G43</f>
        <v>80</v>
      </c>
      <c r="H43" s="95">
        <f>'SCI 34 RUE HAUTE'!H43+'SCI LEGRAND'!H43+'SCI ARMEE ORIENT'!H43+'SCI CHENNEVIERES'!H43+'SCI TAVERNY'!H43+'SCI GENERAL JULES BRIMONT'!H43</f>
        <v>770.1</v>
      </c>
    </row>
    <row r="44" spans="4:8" outlineLevel="1" x14ac:dyDescent="0.25">
      <c r="D44" s="85" t="s">
        <v>165</v>
      </c>
      <c r="E44" s="95">
        <f>'SCI 34 RUE HAUTE'!E44+'SCI LEGRAND'!E44+'SCI ARMEE ORIENT'!E44+'SCI CHENNEVIERES'!E44+'SCI TAVERNY'!E44+'SCI GENERAL JULES BRIMONT'!E44</f>
        <v>49318</v>
      </c>
      <c r="F44" s="95">
        <f>'SCI 34 RUE HAUTE'!F44+'SCI LEGRAND'!F44+'SCI ARMEE ORIENT'!F44+'SCI CHENNEVIERES'!F44+'SCI TAVERNY'!F44+'SCI GENERAL JULES BRIMONT'!F44</f>
        <v>69204</v>
      </c>
      <c r="G44" s="95">
        <f>'SCI 34 RUE HAUTE'!G44+'SCI LEGRAND'!G44+'SCI ARMEE ORIENT'!G44+'SCI CHENNEVIERES'!G44+'SCI TAVERNY'!G44+'SCI GENERAL JULES BRIMONT'!G44</f>
        <v>63834</v>
      </c>
      <c r="H44" s="95">
        <f>'SCI 34 RUE HAUTE'!H44+'SCI LEGRAND'!H44+'SCI ARMEE ORIENT'!H44+'SCI CHENNEVIERES'!H44+'SCI TAVERNY'!H44+'SCI GENERAL JULES BRIMONT'!H44</f>
        <v>65110.68</v>
      </c>
    </row>
    <row r="45" spans="4:8" outlineLevel="1" x14ac:dyDescent="0.25">
      <c r="D45" s="85" t="s">
        <v>166</v>
      </c>
      <c r="E45" s="95">
        <f>'SCI 34 RUE HAUTE'!E45+'SCI LEGRAND'!E45+'SCI ARMEE ORIENT'!E45+'SCI CHENNEVIERES'!E45+'SCI TAVERNY'!E45+'SCI GENERAL JULES BRIMONT'!E45</f>
        <v>8109</v>
      </c>
      <c r="F45" s="95">
        <f>'SCI 34 RUE HAUTE'!F45+'SCI LEGRAND'!F45+'SCI ARMEE ORIENT'!F45+'SCI CHENNEVIERES'!F45+'SCI TAVERNY'!F45+'SCI GENERAL JULES BRIMONT'!F45</f>
        <v>12174</v>
      </c>
      <c r="G45" s="95">
        <f>'SCI 34 RUE HAUTE'!G45+'SCI LEGRAND'!G45+'SCI ARMEE ORIENT'!G45+'SCI CHENNEVIERES'!G45+'SCI TAVERNY'!G45+'SCI GENERAL JULES BRIMONT'!G45</f>
        <v>12867.7</v>
      </c>
      <c r="H45" s="95">
        <f>'SCI 34 RUE HAUTE'!H45+'SCI LEGRAND'!H45+'SCI ARMEE ORIENT'!H45+'SCI CHENNEVIERES'!H45+'SCI TAVERNY'!H45+'SCI GENERAL JULES BRIMONT'!H45</f>
        <v>13756.638000000001</v>
      </c>
    </row>
    <row r="46" spans="4:8" outlineLevel="1" x14ac:dyDescent="0.25">
      <c r="D46" s="85" t="s">
        <v>167</v>
      </c>
      <c r="E46" s="95">
        <f>'SCI 34 RUE HAUTE'!E46+'SCI LEGRAND'!E46+'SCI ARMEE ORIENT'!E46+'SCI CHENNEVIERES'!E46+'SCI TAVERNY'!E46+'SCI GENERAL JULES BRIMONT'!E46</f>
        <v>0</v>
      </c>
      <c r="F46" s="95">
        <f>'SCI 34 RUE HAUTE'!F46+'SCI LEGRAND'!F46+'SCI ARMEE ORIENT'!F46+'SCI CHENNEVIERES'!F46+'SCI TAVERNY'!F46+'SCI GENERAL JULES BRIMONT'!F46</f>
        <v>120</v>
      </c>
      <c r="G46" s="95">
        <f>'SCI 34 RUE HAUTE'!G46+'SCI LEGRAND'!G46+'SCI ARMEE ORIENT'!G46+'SCI CHENNEVIERES'!G46+'SCI TAVERNY'!G46+'SCI GENERAL JULES BRIMONT'!G46</f>
        <v>0</v>
      </c>
      <c r="H46" s="95">
        <f>'SCI 34 RUE HAUTE'!H46+'SCI LEGRAND'!H46+'SCI ARMEE ORIENT'!H46+'SCI CHENNEVIERES'!H46+'SCI TAVERNY'!H46+'SCI GENERAL JULES BRIMONT'!H46</f>
        <v>122.4</v>
      </c>
    </row>
    <row r="47" spans="4:8" outlineLevel="1" x14ac:dyDescent="0.25">
      <c r="D47" s="85" t="s">
        <v>168</v>
      </c>
      <c r="E47" s="95">
        <f>'SCI 34 RUE HAUTE'!E47+'SCI LEGRAND'!E47+'SCI ARMEE ORIENT'!E47+'SCI CHENNEVIERES'!E47+'SCI TAVERNY'!E47+'SCI GENERAL JULES BRIMONT'!E47</f>
        <v>2479</v>
      </c>
      <c r="F47" s="95">
        <f>'SCI 34 RUE HAUTE'!F47+'SCI LEGRAND'!F47+'SCI ARMEE ORIENT'!F47+'SCI CHENNEVIERES'!F47+'SCI TAVERNY'!F47+'SCI GENERAL JULES BRIMONT'!F47</f>
        <v>8636</v>
      </c>
      <c r="G47" s="95">
        <f>'SCI 34 RUE HAUTE'!G47+'SCI LEGRAND'!G47+'SCI ARMEE ORIENT'!G47+'SCI CHENNEVIERES'!G47+'SCI TAVERNY'!G47+'SCI GENERAL JULES BRIMONT'!G47</f>
        <v>9157</v>
      </c>
      <c r="H47" s="95">
        <f>'SCI 34 RUE HAUTE'!H47+'SCI LEGRAND'!H47+'SCI ARMEE ORIENT'!H47+'SCI CHENNEVIERES'!H47+'SCI TAVERNY'!H47+'SCI GENERAL JULES BRIMONT'!H47</f>
        <v>8940.6400000000012</v>
      </c>
    </row>
    <row r="48" spans="4:8" outlineLevel="1" x14ac:dyDescent="0.25">
      <c r="D48" s="85" t="s">
        <v>169</v>
      </c>
      <c r="E48" s="95">
        <f>'SCI 34 RUE HAUTE'!E48+'SCI LEGRAND'!E48+'SCI ARMEE ORIENT'!E48+'SCI CHENNEVIERES'!E48+'SCI TAVERNY'!E48+'SCI GENERAL JULES BRIMONT'!E48</f>
        <v>0</v>
      </c>
      <c r="F48" s="95">
        <f>'SCI 34 RUE HAUTE'!F48+'SCI LEGRAND'!F48+'SCI ARMEE ORIENT'!F48+'SCI CHENNEVIERES'!F48+'SCI TAVERNY'!F48+'SCI GENERAL JULES BRIMONT'!F48</f>
        <v>87</v>
      </c>
      <c r="G48" s="95">
        <f>'SCI 34 RUE HAUTE'!G48+'SCI LEGRAND'!G48+'SCI ARMEE ORIENT'!G48+'SCI CHENNEVIERES'!G48+'SCI TAVERNY'!G48+'SCI GENERAL JULES BRIMONT'!G48</f>
        <v>95.5</v>
      </c>
      <c r="H48" s="95">
        <f>'SCI 34 RUE HAUTE'!H48+'SCI LEGRAND'!H48+'SCI ARMEE ORIENT'!H48+'SCI CHENNEVIERES'!H48+'SCI TAVERNY'!H48+'SCI GENERAL JULES BRIMONT'!H48</f>
        <v>93.075000000000003</v>
      </c>
    </row>
    <row r="49" spans="4:8" outlineLevel="1" x14ac:dyDescent="0.25">
      <c r="D49" s="85" t="s">
        <v>170</v>
      </c>
      <c r="E49" s="95">
        <f>'SCI 34 RUE HAUTE'!E49+'SCI LEGRAND'!E49+'SCI ARMEE ORIENT'!E49+'SCI CHENNEVIERES'!E49+'SCI TAVERNY'!E49+'SCI GENERAL JULES BRIMONT'!E49</f>
        <v>11823</v>
      </c>
      <c r="F49" s="95">
        <f>'SCI 34 RUE HAUTE'!F49+'SCI LEGRAND'!F49+'SCI ARMEE ORIENT'!F49+'SCI CHENNEVIERES'!F49+'SCI TAVERNY'!F49+'SCI GENERAL JULES BRIMONT'!F49</f>
        <v>8616</v>
      </c>
      <c r="G49" s="95">
        <f>'SCI 34 RUE HAUTE'!G49+'SCI LEGRAND'!G49+'SCI ARMEE ORIENT'!G49+'SCI CHENNEVIERES'!G49+'SCI TAVERNY'!G49+'SCI GENERAL JULES BRIMONT'!G49</f>
        <v>8788</v>
      </c>
      <c r="H49" s="95">
        <f>'SCI 34 RUE HAUTE'!H49+'SCI LEGRAND'!H49+'SCI ARMEE ORIENT'!H49+'SCI CHENNEVIERES'!H49+'SCI TAVERNY'!H49+'SCI GENERAL JULES BRIMONT'!H49</f>
        <v>8963.760000000002</v>
      </c>
    </row>
    <row r="50" spans="4:8" outlineLevel="1" x14ac:dyDescent="0.25">
      <c r="D50" s="85" t="s">
        <v>171</v>
      </c>
      <c r="E50" s="95">
        <f>'SCI 34 RUE HAUTE'!E50+'SCI LEGRAND'!E50+'SCI ARMEE ORIENT'!E50+'SCI CHENNEVIERES'!E50+'SCI TAVERNY'!E50+'SCI GENERAL JULES BRIMONT'!E50</f>
        <v>6577</v>
      </c>
      <c r="F50" s="95">
        <f>'SCI 34 RUE HAUTE'!F50+'SCI LEGRAND'!F50+'SCI ARMEE ORIENT'!F50+'SCI CHENNEVIERES'!F50+'SCI TAVERNY'!F50+'SCI GENERAL JULES BRIMONT'!F50</f>
        <v>1880</v>
      </c>
      <c r="G50" s="95">
        <f>'SCI 34 RUE HAUTE'!G50+'SCI LEGRAND'!G50+'SCI ARMEE ORIENT'!G50+'SCI CHENNEVIERES'!G50+'SCI TAVERNY'!G50+'SCI GENERAL JULES BRIMONT'!G50</f>
        <v>1879</v>
      </c>
      <c r="H50" s="95">
        <f>'SCI 34 RUE HAUTE'!H50+'SCI LEGRAND'!H50+'SCI ARMEE ORIENT'!H50+'SCI CHENNEVIERES'!H50+'SCI TAVERNY'!H50+'SCI GENERAL JULES BRIMONT'!H50</f>
        <v>1916.58</v>
      </c>
    </row>
    <row r="51" spans="4:8" outlineLevel="1" x14ac:dyDescent="0.25">
      <c r="D51" s="85" t="s">
        <v>172</v>
      </c>
      <c r="E51" s="95">
        <f>'SCI 34 RUE HAUTE'!E51+'SCI LEGRAND'!E51+'SCI ARMEE ORIENT'!E51+'SCI CHENNEVIERES'!E51+'SCI TAVERNY'!E51+'SCI GENERAL JULES BRIMONT'!E51</f>
        <v>107423</v>
      </c>
      <c r="F51" s="95">
        <f>'SCI 34 RUE HAUTE'!F51+'SCI LEGRAND'!F51+'SCI ARMEE ORIENT'!F51+'SCI CHENNEVIERES'!F51+'SCI TAVERNY'!F51+'SCI GENERAL JULES BRIMONT'!F51</f>
        <v>99209</v>
      </c>
      <c r="G51" s="95">
        <f>'SCI 34 RUE HAUTE'!G51+'SCI LEGRAND'!G51+'SCI ARMEE ORIENT'!G51+'SCI CHENNEVIERES'!G51+'SCI TAVERNY'!G51+'SCI GENERAL JULES BRIMONT'!G51</f>
        <v>23604</v>
      </c>
      <c r="H51" s="95">
        <f>'SCI 34 RUE HAUTE'!H51+'SCI LEGRAND'!H51+'SCI ARMEE ORIENT'!H51+'SCI CHENNEVIERES'!H51+'SCI TAVERNY'!H51+'SCI GENERAL JULES BRIMONT'!H51</f>
        <v>24076.080000000002</v>
      </c>
    </row>
    <row r="52" spans="4:8" outlineLevel="1" x14ac:dyDescent="0.25">
      <c r="D52" s="85" t="s">
        <v>173</v>
      </c>
      <c r="E52" s="95">
        <f>'SCI 34 RUE HAUTE'!E52+'SCI LEGRAND'!E52+'SCI ARMEE ORIENT'!E52+'SCI CHENNEVIERES'!E52+'SCI TAVERNY'!E52+'SCI GENERAL JULES BRIMONT'!E52</f>
        <v>0</v>
      </c>
      <c r="F52" s="95">
        <f>'SCI 34 RUE HAUTE'!F52+'SCI LEGRAND'!F52+'SCI ARMEE ORIENT'!F52+'SCI CHENNEVIERES'!F52+'SCI TAVERNY'!F52+'SCI GENERAL JULES BRIMONT'!F52</f>
        <v>13888</v>
      </c>
      <c r="G52" s="95">
        <f>'SCI 34 RUE HAUTE'!G52+'SCI LEGRAND'!G52+'SCI ARMEE ORIENT'!G52+'SCI CHENNEVIERES'!G52+'SCI TAVERNY'!G52+'SCI GENERAL JULES BRIMONT'!G52</f>
        <v>18503.669999999998</v>
      </c>
      <c r="H52" s="95">
        <f>'SCI 34 RUE HAUTE'!H52+'SCI LEGRAND'!H52+'SCI ARMEE ORIENT'!H52+'SCI CHENNEVIERES'!H52+'SCI TAVERNY'!H52+'SCI GENERAL JULES BRIMONT'!H52</f>
        <v>18873.743399999999</v>
      </c>
    </row>
    <row r="53" spans="4:8" outlineLevel="1" x14ac:dyDescent="0.25">
      <c r="D53" s="85" t="s">
        <v>174</v>
      </c>
      <c r="E53" s="95">
        <f>'SCI 34 RUE HAUTE'!E53+'SCI LEGRAND'!E53+'SCI ARMEE ORIENT'!E53+'SCI CHENNEVIERES'!E53+'SCI TAVERNY'!E53+'SCI GENERAL JULES BRIMONT'!E53</f>
        <v>221900</v>
      </c>
      <c r="F53" s="95">
        <f>'SCI 34 RUE HAUTE'!F53+'SCI LEGRAND'!F53+'SCI ARMEE ORIENT'!F53+'SCI CHENNEVIERES'!F53+'SCI TAVERNY'!F53+'SCI GENERAL JULES BRIMONT'!F53</f>
        <v>36816</v>
      </c>
      <c r="G53" s="95">
        <f>'SCI 34 RUE HAUTE'!G53+'SCI LEGRAND'!G53+'SCI ARMEE ORIENT'!G53+'SCI CHENNEVIERES'!G53+'SCI TAVERNY'!G53+'SCI GENERAL JULES BRIMONT'!G53</f>
        <v>420</v>
      </c>
      <c r="H53" s="95">
        <f>'SCI 34 RUE HAUTE'!H53+'SCI LEGRAND'!H53+'SCI ARMEE ORIENT'!H53+'SCI CHENNEVIERES'!H53+'SCI TAVERNY'!H53+'SCI GENERAL JULES BRIMONT'!H53</f>
        <v>428.40000000000003</v>
      </c>
    </row>
    <row r="54" spans="4:8" outlineLevel="1" x14ac:dyDescent="0.25">
      <c r="D54" s="88" t="s">
        <v>175</v>
      </c>
      <c r="E54" s="95">
        <f>'SCI 34 RUE HAUTE'!E54+'SCI LEGRAND'!E54+'SCI ARMEE ORIENT'!E54+'SCI CHENNEVIERES'!E54+'SCI TAVERNY'!E54+'SCI GENERAL JULES BRIMONT'!E54</f>
        <v>2193</v>
      </c>
      <c r="F54" s="95">
        <f>'SCI 34 RUE HAUTE'!F54+'SCI LEGRAND'!F54+'SCI ARMEE ORIENT'!F54+'SCI CHENNEVIERES'!F54+'SCI TAVERNY'!F54+'SCI GENERAL JULES BRIMONT'!F54</f>
        <v>6170</v>
      </c>
      <c r="G54" s="95">
        <f>'SCI 34 RUE HAUTE'!G54+'SCI LEGRAND'!G54+'SCI ARMEE ORIENT'!G54+'SCI CHENNEVIERES'!G54+'SCI TAVERNY'!G54+'SCI GENERAL JULES BRIMONT'!G54</f>
        <v>5931</v>
      </c>
      <c r="H54" s="95">
        <f>'SCI 34 RUE HAUTE'!H54+'SCI LEGRAND'!H54+'SCI ARMEE ORIENT'!H54+'SCI CHENNEVIERES'!H54+'SCI TAVERNY'!H54+'SCI GENERAL JULES BRIMONT'!H54</f>
        <v>3787.6000000000004</v>
      </c>
    </row>
    <row r="55" spans="4:8" x14ac:dyDescent="0.25">
      <c r="D55" s="90" t="s">
        <v>176</v>
      </c>
      <c r="E55" s="96">
        <f>E56+E57</f>
        <v>22439</v>
      </c>
      <c r="F55" s="96">
        <f>F56+F57</f>
        <v>56021</v>
      </c>
      <c r="G55" s="96">
        <f>G56+G57</f>
        <v>61996</v>
      </c>
      <c r="H55" s="96">
        <f>H56+H57</f>
        <v>63201.740000000005</v>
      </c>
    </row>
    <row r="56" spans="4:8" outlineLevel="1" x14ac:dyDescent="0.25">
      <c r="D56" s="85" t="s">
        <v>177</v>
      </c>
      <c r="E56" s="95">
        <f>'SCI 34 RUE HAUTE'!E56+'SCI LEGRAND'!E56+'SCI ARMEE ORIENT'!E56+'SCI CHENNEVIERES'!E56+'SCI TAVERNY'!E56+'SCI GENERAL JULES BRIMONT'!E56</f>
        <v>22439</v>
      </c>
      <c r="F56" s="95">
        <f>'SCI 34 RUE HAUTE'!F56+'SCI LEGRAND'!F56+'SCI ARMEE ORIENT'!F56+'SCI CHENNEVIERES'!F56+'SCI TAVERNY'!F56+'SCI GENERAL JULES BRIMONT'!F56</f>
        <v>54405</v>
      </c>
      <c r="G56" s="95">
        <f>'SCI 34 RUE HAUTE'!G56+'SCI LEGRAND'!G56+'SCI ARMEE ORIENT'!G56+'SCI CHENNEVIERES'!G56+'SCI TAVERNY'!G56+'SCI GENERAL JULES BRIMONT'!G56</f>
        <v>60287</v>
      </c>
      <c r="H56" s="95">
        <f>'SCI 34 RUE HAUTE'!H56+'SCI LEGRAND'!H56+'SCI ARMEE ORIENT'!H56+'SCI CHENNEVIERES'!H56+'SCI TAVERNY'!H56+'SCI GENERAL JULES BRIMONT'!H56</f>
        <v>61492.740000000005</v>
      </c>
    </row>
    <row r="57" spans="4:8" outlineLevel="1" x14ac:dyDescent="0.25">
      <c r="D57" s="88" t="s">
        <v>317</v>
      </c>
      <c r="E57" s="95">
        <f>'SCI 34 RUE HAUTE'!E57+'SCI LEGRAND'!E57+'SCI ARMEE ORIENT'!E57+'SCI CHENNEVIERES'!E57+'SCI TAVERNY'!E57+'SCI GENERAL JULES BRIMONT'!E57</f>
        <v>0</v>
      </c>
      <c r="F57" s="95">
        <f>'SCI 34 RUE HAUTE'!F57+'SCI LEGRAND'!F57+'SCI ARMEE ORIENT'!F57+'SCI CHENNEVIERES'!F57+'SCI TAVERNY'!F57+'SCI GENERAL JULES BRIMONT'!F57</f>
        <v>1616</v>
      </c>
      <c r="G57" s="95">
        <f>'SCI 34 RUE HAUTE'!G57+'SCI LEGRAND'!G57+'SCI ARMEE ORIENT'!G57+'SCI CHENNEVIERES'!G57+'SCI TAVERNY'!G57+'SCI GENERAL JULES BRIMONT'!G57</f>
        <v>1709</v>
      </c>
      <c r="H57" s="95">
        <f>'SCI 34 RUE HAUTE'!H57+'SCI LEGRAND'!H57+'SCI ARMEE ORIENT'!H57+'SCI CHENNEVIERES'!H57+'SCI TAVERNY'!H57+'SCI GENERAL JULES BRIMONT'!H57</f>
        <v>1709</v>
      </c>
    </row>
    <row r="58" spans="4:8" x14ac:dyDescent="0.25">
      <c r="D58" s="90" t="s">
        <v>179</v>
      </c>
      <c r="E58" s="96">
        <f>E59</f>
        <v>155381</v>
      </c>
      <c r="F58" s="96">
        <f>F59</f>
        <v>283652</v>
      </c>
      <c r="G58" s="96">
        <f>G59</f>
        <v>283652</v>
      </c>
      <c r="H58" s="96">
        <f>H59</f>
        <v>330652</v>
      </c>
    </row>
    <row r="59" spans="4:8" outlineLevel="1" x14ac:dyDescent="0.25">
      <c r="D59" s="88" t="s">
        <v>180</v>
      </c>
      <c r="E59" s="95">
        <f>'SCI 34 RUE HAUTE'!E59+'SCI LEGRAND'!E59+'SCI ARMEE ORIENT'!E59+'SCI CHENNEVIERES'!E59+'SCI TAVERNY'!E59+'SCI GENERAL JULES BRIMONT'!E59</f>
        <v>155381</v>
      </c>
      <c r="F59" s="95">
        <f>'SCI 34 RUE HAUTE'!F59+'SCI LEGRAND'!F59+'SCI ARMEE ORIENT'!F59+'SCI CHENNEVIERES'!F59+'SCI TAVERNY'!F59+'SCI GENERAL JULES BRIMONT'!F59</f>
        <v>283652</v>
      </c>
      <c r="G59" s="95">
        <f>'SCI 34 RUE HAUTE'!G59+'SCI LEGRAND'!G59+'SCI ARMEE ORIENT'!G59+'SCI CHENNEVIERES'!G59+'SCI TAVERNY'!G59+'SCI GENERAL JULES BRIMONT'!G59</f>
        <v>283652</v>
      </c>
      <c r="H59" s="95">
        <f>'SCI 34 RUE HAUTE'!H59+'SCI LEGRAND'!H59+'SCI ARMEE ORIENT'!H59+'SCI CHENNEVIERES'!H59+'SCI TAVERNY'!H59+'SCI GENERAL JULES BRIMONT'!H59</f>
        <v>330652</v>
      </c>
    </row>
    <row r="60" spans="4:8" x14ac:dyDescent="0.25">
      <c r="D60" s="90" t="s">
        <v>181</v>
      </c>
      <c r="E60" s="96">
        <f>E61</f>
        <v>0</v>
      </c>
      <c r="F60" s="96">
        <f>F61</f>
        <v>127</v>
      </c>
      <c r="G60" s="96">
        <f>G61</f>
        <v>0</v>
      </c>
      <c r="H60" s="96">
        <f>H61</f>
        <v>0</v>
      </c>
    </row>
    <row r="61" spans="4:8" outlineLevel="1" x14ac:dyDescent="0.25">
      <c r="D61" s="88" t="s">
        <v>182</v>
      </c>
      <c r="E61" s="95">
        <f>'SCI 34 RUE HAUTE'!E61+'SCI LEGRAND'!E61+'SCI ARMEE ORIENT'!E61+'SCI CHENNEVIERES'!E61+'SCI TAVERNY'!E61+'SCI GENERAL JULES BRIMONT'!E61</f>
        <v>0</v>
      </c>
      <c r="F61" s="95">
        <f>'SCI 34 RUE HAUTE'!F61+'SCI LEGRAND'!F61+'SCI ARMEE ORIENT'!F61+'SCI CHENNEVIERES'!F61+'SCI TAVERNY'!F61+'SCI GENERAL JULES BRIMONT'!F61</f>
        <v>127</v>
      </c>
      <c r="G61" s="95">
        <f>'SCI 34 RUE HAUTE'!G61+'SCI LEGRAND'!G61+'SCI ARMEE ORIENT'!G61+'SCI CHENNEVIERES'!G61+'SCI TAVERNY'!G61+'SCI GENERAL JULES BRIMONT'!G61</f>
        <v>0</v>
      </c>
      <c r="H61" s="95">
        <f>'SCI 34 RUE HAUTE'!H61+'SCI LEGRAND'!H61+'SCI ARMEE ORIENT'!H61+'SCI CHENNEVIERES'!H61+'SCI TAVERNY'!H61+'SCI GENERAL JULES BRIMONT'!H61</f>
        <v>0</v>
      </c>
    </row>
    <row r="62" spans="4:8" x14ac:dyDescent="0.25">
      <c r="D62" s="91" t="s">
        <v>186</v>
      </c>
      <c r="E62" s="94">
        <f>E60+E58+E55+E39</f>
        <v>594584</v>
      </c>
      <c r="F62" s="94">
        <f>F60+F58+F55+F39</f>
        <v>603473</v>
      </c>
      <c r="G62" s="94">
        <f>G60+G58+G55+G39</f>
        <v>496055.07</v>
      </c>
      <c r="H62" s="94">
        <f>H60+H58+H55+H39</f>
        <v>546868.92440000002</v>
      </c>
    </row>
    <row r="63" spans="4:8" x14ac:dyDescent="0.25">
      <c r="D63" s="92" t="s">
        <v>187</v>
      </c>
      <c r="E63" s="94">
        <f>E38-E62</f>
        <v>-210207</v>
      </c>
      <c r="F63" s="94">
        <f>F38-F62</f>
        <v>49076</v>
      </c>
      <c r="G63" s="94">
        <f>G38-G62</f>
        <v>415695.93</v>
      </c>
      <c r="H63" s="94">
        <f>H38-H62</f>
        <v>456771.41239999991</v>
      </c>
    </row>
    <row r="64" spans="4:8" x14ac:dyDescent="0.25">
      <c r="D64" s="89" t="s">
        <v>183</v>
      </c>
      <c r="E64" s="96">
        <f>E65+E66</f>
        <v>116677</v>
      </c>
      <c r="F64" s="96">
        <f>F65+F66</f>
        <v>246885</v>
      </c>
      <c r="G64" s="96">
        <f>G65+G66</f>
        <v>252035</v>
      </c>
      <c r="H64" s="96">
        <f>H65+H66</f>
        <v>257833.7960639575</v>
      </c>
    </row>
    <row r="65" spans="4:8" outlineLevel="1" x14ac:dyDescent="0.25">
      <c r="D65" s="85" t="s">
        <v>184</v>
      </c>
      <c r="E65" s="95">
        <f>'SCI 34 RUE HAUTE'!E65+'SCI LEGRAND'!E65+'SCI ARMEE ORIENT'!E65+'SCI CHENNEVIERES'!E65+'SCI TAVERNY'!E65+'SCI GENERAL JULES BRIMONT'!E65</f>
        <v>0</v>
      </c>
      <c r="F65" s="95">
        <f>'SCI 34 RUE HAUTE'!F65+'SCI LEGRAND'!F65+'SCI ARMEE ORIENT'!F65+'SCI CHENNEVIERES'!F65+'SCI TAVERNY'!F65+'SCI GENERAL JULES BRIMONT'!F65</f>
        <v>54</v>
      </c>
      <c r="G65" s="95">
        <f>'SCI 34 RUE HAUTE'!G65+'SCI LEGRAND'!G65+'SCI ARMEE ORIENT'!G65+'SCI CHENNEVIERES'!G65+'SCI TAVERNY'!G65+'SCI GENERAL JULES BRIMONT'!G65</f>
        <v>1</v>
      </c>
      <c r="H65" s="95">
        <f>'SCI 34 RUE HAUTE'!H65+'SCI LEGRAND'!H65+'SCI ARMEE ORIENT'!H65+'SCI CHENNEVIERES'!H65+'SCI TAVERNY'!H65+'SCI GENERAL JULES BRIMONT'!H65</f>
        <v>0</v>
      </c>
    </row>
    <row r="66" spans="4:8" outlineLevel="1" x14ac:dyDescent="0.25">
      <c r="D66" s="88" t="s">
        <v>185</v>
      </c>
      <c r="E66" s="95">
        <f>'SCI 34 RUE HAUTE'!E66+'SCI LEGRAND'!E66+'SCI ARMEE ORIENT'!E66+'SCI CHENNEVIERES'!E66+'SCI TAVERNY'!E66+'SCI GENERAL JULES BRIMONT'!E66</f>
        <v>116677</v>
      </c>
      <c r="F66" s="95">
        <f>'SCI 34 RUE HAUTE'!F66+'SCI LEGRAND'!F66+'SCI ARMEE ORIENT'!F66+'SCI CHENNEVIERES'!F66+'SCI TAVERNY'!F66+'SCI GENERAL JULES BRIMONT'!F66</f>
        <v>246831</v>
      </c>
      <c r="G66" s="95">
        <f>'SCI 34 RUE HAUTE'!G66+'SCI LEGRAND'!G66+'SCI ARMEE ORIENT'!G66+'SCI CHENNEVIERES'!G66+'SCI TAVERNY'!G66+'SCI GENERAL JULES BRIMONT'!G66</f>
        <v>252034</v>
      </c>
      <c r="H66" s="95">
        <f>'SCI 34 RUE HAUTE'!H66+'SCI LEGRAND'!H66+'SCI ARMEE ORIENT'!H66+'SCI CHENNEVIERES'!H66+'SCI TAVERNY'!H66+'SCI GENERAL JULES BRIMONT'!H66</f>
        <v>257833.7960639575</v>
      </c>
    </row>
    <row r="67" spans="4:8" x14ac:dyDescent="0.25">
      <c r="D67" s="91" t="s">
        <v>188</v>
      </c>
      <c r="E67" s="94">
        <f>E64</f>
        <v>116677</v>
      </c>
      <c r="F67" s="94">
        <f>F64</f>
        <v>246885</v>
      </c>
      <c r="G67" s="94">
        <f>G64</f>
        <v>252035</v>
      </c>
      <c r="H67" s="94">
        <f>H64</f>
        <v>257833.7960639575</v>
      </c>
    </row>
    <row r="68" spans="4:8" x14ac:dyDescent="0.25">
      <c r="D68" s="92" t="s">
        <v>189</v>
      </c>
      <c r="E68" s="94">
        <f>E67</f>
        <v>116677</v>
      </c>
      <c r="F68" s="94">
        <f>F67</f>
        <v>246885</v>
      </c>
      <c r="G68" s="94">
        <f>G67</f>
        <v>252035</v>
      </c>
      <c r="H68" s="94">
        <f>H67</f>
        <v>257833.7960639575</v>
      </c>
    </row>
    <row r="69" spans="4:8" x14ac:dyDescent="0.25">
      <c r="D69" s="92" t="s">
        <v>190</v>
      </c>
      <c r="E69" s="97">
        <f>E63-E68</f>
        <v>-326884</v>
      </c>
      <c r="F69" s="97">
        <f>F63-F68</f>
        <v>-197809</v>
      </c>
      <c r="G69" s="97">
        <f>G63-G68</f>
        <v>163660.93</v>
      </c>
      <c r="H69" s="97">
        <f>H63-H68</f>
        <v>198937.61633604241</v>
      </c>
    </row>
    <row r="70" spans="4:8" hidden="1" outlineLevel="1" x14ac:dyDescent="0.25">
      <c r="D70" s="86" t="s">
        <v>191</v>
      </c>
      <c r="E70" s="95"/>
      <c r="F70" s="95"/>
      <c r="G70" s="95"/>
      <c r="H70" s="95"/>
    </row>
    <row r="71" spans="4:8" collapsed="1" x14ac:dyDescent="0.25">
      <c r="D71" s="92" t="s">
        <v>192</v>
      </c>
      <c r="E71" s="97">
        <f>E69-E70</f>
        <v>-326884</v>
      </c>
      <c r="F71" s="97">
        <f>F69-F70</f>
        <v>-197809</v>
      </c>
      <c r="G71" s="97">
        <f>G69-G70</f>
        <v>163660.93</v>
      </c>
      <c r="H71" s="97">
        <f>H69-H70</f>
        <v>198937.61633604241</v>
      </c>
    </row>
    <row r="73" spans="4:8" collapsed="1" x14ac:dyDescent="0.25">
      <c r="D73" s="92" t="s">
        <v>211</v>
      </c>
      <c r="E73" s="97">
        <f>SUM(E74:E84)</f>
        <v>5612145</v>
      </c>
      <c r="F73" s="97">
        <f>SUM(F74:F84)</f>
        <v>8878120</v>
      </c>
      <c r="G73" s="97">
        <f t="shared" ref="G73:H73" si="1">SUM(G74:G84)</f>
        <v>8883826</v>
      </c>
      <c r="H73" s="97">
        <f t="shared" si="1"/>
        <v>940000</v>
      </c>
    </row>
    <row r="74" spans="4:8" outlineLevel="1" x14ac:dyDescent="0.25">
      <c r="D74" s="112" t="s">
        <v>200</v>
      </c>
      <c r="E74" s="113">
        <f>'SCI 34 RUE HAUTE'!E74+'SCI LEGRAND'!E74+'SCI ARMEE ORIENT'!E74+'SCI CHENNEVIERES'!E74+'SCI TAVERNY'!E74+'SCI GENERAL JULES BRIMONT'!E74</f>
        <v>1251372</v>
      </c>
      <c r="F74" s="113">
        <f>'SCI 34 RUE HAUTE'!F74+'SCI LEGRAND'!F74+'SCI ARMEE ORIENT'!F74+'SCI CHENNEVIERES'!F74+'SCI TAVERNY'!F74+'SCI GENERAL JULES BRIMONT'!F74</f>
        <v>2815097</v>
      </c>
      <c r="G74" s="113">
        <f>'SCI 34 RUE HAUTE'!G74+'SCI LEGRAND'!G74+'SCI ARMEE ORIENT'!G74+'SCI CHENNEVIERES'!G74+'SCI TAVERNY'!G74+'SCI GENERAL JULES BRIMONT'!G74</f>
        <v>2815097</v>
      </c>
      <c r="H74" s="113">
        <f>'SCI 34 RUE HAUTE'!H74+'SCI LEGRAND'!H74+'SCI ARMEE ORIENT'!H74+'SCI CHENNEVIERES'!H74+'SCI TAVERNY'!H74+'SCI GENERAL JULES BRIMONT'!H74</f>
        <v>940000</v>
      </c>
    </row>
    <row r="75" spans="4:8" outlineLevel="1" x14ac:dyDescent="0.25">
      <c r="D75" s="111" t="s">
        <v>201</v>
      </c>
      <c r="E75" s="96">
        <f>'SCI 34 RUE HAUTE'!E75+'SCI LEGRAND'!E75+'SCI ARMEE ORIENT'!E75+'SCI CHENNEVIERES'!E75+'SCI TAVERNY'!E75+'SCI GENERAL JULES BRIMONT'!E75</f>
        <v>97721</v>
      </c>
      <c r="F75" s="96">
        <f>'SCI 34 RUE HAUTE'!F75+'SCI LEGRAND'!F75+'SCI ARMEE ORIENT'!F75+'SCI CHENNEVIERES'!F75+'SCI TAVERNY'!F75+'SCI GENERAL JULES BRIMONT'!F75</f>
        <v>90581</v>
      </c>
      <c r="G75" s="96">
        <f>'SCI 34 RUE HAUTE'!G75+'SCI LEGRAND'!G75+'SCI ARMEE ORIENT'!G75+'SCI CHENNEVIERES'!G75+'SCI TAVERNY'!G75+'SCI GENERAL JULES BRIMONT'!G75</f>
        <v>0</v>
      </c>
      <c r="H75" s="96">
        <f>'SCI 34 RUE HAUTE'!H75+'SCI LEGRAND'!H75+'SCI ARMEE ORIENT'!H75+'SCI CHENNEVIERES'!H75+'SCI TAVERNY'!H75+'SCI GENERAL JULES BRIMONT'!H75</f>
        <v>0</v>
      </c>
    </row>
    <row r="76" spans="4:8" outlineLevel="1" x14ac:dyDescent="0.25">
      <c r="D76" s="111" t="s">
        <v>202</v>
      </c>
      <c r="E76" s="96">
        <f>'SCI 34 RUE HAUTE'!E76+'SCI LEGRAND'!E76+'SCI ARMEE ORIENT'!E76+'SCI CHENNEVIERES'!E76+'SCI TAVERNY'!E76+'SCI GENERAL JULES BRIMONT'!E76</f>
        <v>1605337</v>
      </c>
      <c r="F76" s="96">
        <f>'SCI 34 RUE HAUTE'!F76+'SCI LEGRAND'!F76+'SCI ARMEE ORIENT'!F76+'SCI CHENNEVIERES'!F76+'SCI TAVERNY'!F76+'SCI GENERAL JULES BRIMONT'!F76</f>
        <v>2427444</v>
      </c>
      <c r="G76" s="96">
        <f>'SCI 34 RUE HAUTE'!G76+'SCI LEGRAND'!G76+'SCI ARMEE ORIENT'!G76+'SCI CHENNEVIERES'!G76+'SCI TAVERNY'!G76+'SCI GENERAL JULES BRIMONT'!G76</f>
        <v>2887745</v>
      </c>
      <c r="H76" s="96">
        <f>'SCI 34 RUE HAUTE'!H76+'SCI LEGRAND'!H76+'SCI ARMEE ORIENT'!H76+'SCI CHENNEVIERES'!H76+'SCI TAVERNY'!H76+'SCI GENERAL JULES BRIMONT'!H76</f>
        <v>0</v>
      </c>
    </row>
    <row r="77" spans="4:8" outlineLevel="1" x14ac:dyDescent="0.25">
      <c r="D77" s="111" t="s">
        <v>203</v>
      </c>
      <c r="E77" s="96">
        <f>'SCI 34 RUE HAUTE'!E77+'SCI LEGRAND'!E77+'SCI ARMEE ORIENT'!E77+'SCI CHENNEVIERES'!E77+'SCI TAVERNY'!E77+'SCI GENERAL JULES BRIMONT'!E77</f>
        <v>472509</v>
      </c>
      <c r="F77" s="96">
        <f>'SCI 34 RUE HAUTE'!F77+'SCI LEGRAND'!F77+'SCI ARMEE ORIENT'!F77+'SCI CHENNEVIERES'!F77+'SCI TAVERNY'!F77+'SCI GENERAL JULES BRIMONT'!F77</f>
        <v>485310</v>
      </c>
      <c r="G77" s="96">
        <f>'SCI 34 RUE HAUTE'!G77+'SCI LEGRAND'!G77+'SCI ARMEE ORIENT'!G77+'SCI CHENNEVIERES'!G77+'SCI TAVERNY'!G77+'SCI GENERAL JULES BRIMONT'!G77</f>
        <v>0</v>
      </c>
      <c r="H77" s="96">
        <f>'SCI 34 RUE HAUTE'!H77+'SCI LEGRAND'!H77+'SCI ARMEE ORIENT'!H77+'SCI CHENNEVIERES'!H77+'SCI TAVERNY'!H77+'SCI GENERAL JULES BRIMONT'!H77</f>
        <v>0</v>
      </c>
    </row>
    <row r="78" spans="4:8" outlineLevel="1" x14ac:dyDescent="0.25">
      <c r="D78" s="111" t="s">
        <v>204</v>
      </c>
      <c r="E78" s="96">
        <f>'SCI 34 RUE HAUTE'!E78+'SCI LEGRAND'!E78+'SCI ARMEE ORIENT'!E78+'SCI CHENNEVIERES'!E78+'SCI TAVERNY'!E78+'SCI GENERAL JULES BRIMONT'!E78</f>
        <v>761619</v>
      </c>
      <c r="F78" s="96">
        <f>'SCI 34 RUE HAUTE'!F78+'SCI LEGRAND'!F78+'SCI ARMEE ORIENT'!F78+'SCI CHENNEVIERES'!F78+'SCI TAVERNY'!F78+'SCI GENERAL JULES BRIMONT'!F78</f>
        <v>1166569</v>
      </c>
      <c r="G78" s="96">
        <f>'SCI 34 RUE HAUTE'!G78+'SCI LEGRAND'!G78+'SCI ARMEE ORIENT'!G78+'SCI CHENNEVIERES'!G78+'SCI TAVERNY'!G78+'SCI GENERAL JULES BRIMONT'!G78</f>
        <v>1166569</v>
      </c>
      <c r="H78" s="96">
        <f>'SCI 34 RUE HAUTE'!H78+'SCI LEGRAND'!H78+'SCI ARMEE ORIENT'!H78+'SCI CHENNEVIERES'!H78+'SCI TAVERNY'!H78+'SCI GENERAL JULES BRIMONT'!H78</f>
        <v>0</v>
      </c>
    </row>
    <row r="79" spans="4:8" outlineLevel="1" x14ac:dyDescent="0.25">
      <c r="D79" s="111" t="s">
        <v>205</v>
      </c>
      <c r="E79" s="96">
        <f>'SCI 34 RUE HAUTE'!E79+'SCI LEGRAND'!E79+'SCI ARMEE ORIENT'!E79+'SCI CHENNEVIERES'!E79+'SCI TAVERNY'!E79+'SCI GENERAL JULES BRIMONT'!E79</f>
        <v>118205</v>
      </c>
      <c r="F79" s="96">
        <f>'SCI 34 RUE HAUTE'!F79+'SCI LEGRAND'!F79+'SCI ARMEE ORIENT'!F79+'SCI CHENNEVIERES'!F79+'SCI TAVERNY'!F79+'SCI GENERAL JULES BRIMONT'!F79</f>
        <v>118205</v>
      </c>
      <c r="G79" s="96">
        <f>'SCI 34 RUE HAUTE'!G79+'SCI LEGRAND'!G79+'SCI ARMEE ORIENT'!G79+'SCI CHENNEVIERES'!G79+'SCI TAVERNY'!G79+'SCI GENERAL JULES BRIMONT'!G79</f>
        <v>118205</v>
      </c>
      <c r="H79" s="96">
        <f>'SCI 34 RUE HAUTE'!H79+'SCI LEGRAND'!H79+'SCI ARMEE ORIENT'!H79+'SCI CHENNEVIERES'!H79+'SCI TAVERNY'!H79+'SCI GENERAL JULES BRIMONT'!H79</f>
        <v>0</v>
      </c>
    </row>
    <row r="80" spans="4:8" outlineLevel="1" x14ac:dyDescent="0.25">
      <c r="D80" s="111" t="s">
        <v>206</v>
      </c>
      <c r="E80" s="96">
        <f>'SCI 34 RUE HAUTE'!E80+'SCI LEGRAND'!E80+'SCI ARMEE ORIENT'!E80+'SCI CHENNEVIERES'!E80+'SCI TAVERNY'!E80+'SCI GENERAL JULES BRIMONT'!E80</f>
        <v>612174</v>
      </c>
      <c r="F80" s="96">
        <f>'SCI 34 RUE HAUTE'!F80+'SCI LEGRAND'!F80+'SCI ARMEE ORIENT'!F80+'SCI CHENNEVIERES'!F80+'SCI TAVERNY'!F80+'SCI GENERAL JULES BRIMONT'!F80</f>
        <v>855144</v>
      </c>
      <c r="G80" s="96">
        <f>'SCI 34 RUE HAUTE'!G80+'SCI LEGRAND'!G80+'SCI ARMEE ORIENT'!G80+'SCI CHENNEVIERES'!G80+'SCI TAVERNY'!G80+'SCI GENERAL JULES BRIMONT'!G80</f>
        <v>855144</v>
      </c>
      <c r="H80" s="96">
        <f>'SCI 34 RUE HAUTE'!H80+'SCI LEGRAND'!H80+'SCI ARMEE ORIENT'!H80+'SCI CHENNEVIERES'!H80+'SCI TAVERNY'!H80+'SCI GENERAL JULES BRIMONT'!H80</f>
        <v>0</v>
      </c>
    </row>
    <row r="81" spans="2:8" outlineLevel="1" x14ac:dyDescent="0.25">
      <c r="D81" s="111" t="s">
        <v>207</v>
      </c>
      <c r="E81" s="96">
        <f>'SCI 34 RUE HAUTE'!E81+'SCI LEGRAND'!E81+'SCI ARMEE ORIENT'!E81+'SCI CHENNEVIERES'!E81+'SCI TAVERNY'!E81+'SCI GENERAL JULES BRIMONT'!E81</f>
        <v>274743</v>
      </c>
      <c r="F81" s="96">
        <f>'SCI 34 RUE HAUTE'!F81+'SCI LEGRAND'!F81+'SCI ARMEE ORIENT'!F81+'SCI CHENNEVIERES'!F81+'SCI TAVERNY'!F81+'SCI GENERAL JULES BRIMONT'!F81</f>
        <v>274743</v>
      </c>
      <c r="G81" s="96">
        <f>'SCI 34 RUE HAUTE'!G81+'SCI LEGRAND'!G81+'SCI ARMEE ORIENT'!G81+'SCI CHENNEVIERES'!G81+'SCI TAVERNY'!G81+'SCI GENERAL JULES BRIMONT'!G81</f>
        <v>274743</v>
      </c>
      <c r="H81" s="96">
        <f>'SCI 34 RUE HAUTE'!H81+'SCI LEGRAND'!H81+'SCI ARMEE ORIENT'!H81+'SCI CHENNEVIERES'!H81+'SCI TAVERNY'!H81+'SCI GENERAL JULES BRIMONT'!H81</f>
        <v>0</v>
      </c>
    </row>
    <row r="82" spans="2:8" outlineLevel="1" x14ac:dyDescent="0.25">
      <c r="D82" s="111" t="s">
        <v>208</v>
      </c>
      <c r="E82" s="96">
        <f>'SCI 34 RUE HAUTE'!E82+'SCI LEGRAND'!E82+'SCI ARMEE ORIENT'!E82+'SCI CHENNEVIERES'!E82+'SCI TAVERNY'!E82+'SCI GENERAL JULES BRIMONT'!E82</f>
        <v>321638</v>
      </c>
      <c r="F82" s="96">
        <f>'SCI 34 RUE HAUTE'!F82+'SCI LEGRAND'!F82+'SCI ARMEE ORIENT'!F82+'SCI CHENNEVIERES'!F82+'SCI TAVERNY'!F82+'SCI GENERAL JULES BRIMONT'!F82</f>
        <v>483618</v>
      </c>
      <c r="G82" s="96">
        <f>'SCI 34 RUE HAUTE'!G82+'SCI LEGRAND'!G82+'SCI ARMEE ORIENT'!G82+'SCI CHENNEVIERES'!G82+'SCI TAVERNY'!G82+'SCI GENERAL JULES BRIMONT'!G82</f>
        <v>678165</v>
      </c>
      <c r="H82" s="96">
        <f>'SCI 34 RUE HAUTE'!H82+'SCI LEGRAND'!H82+'SCI ARMEE ORIENT'!H82+'SCI CHENNEVIERES'!H82+'SCI TAVERNY'!H82+'SCI GENERAL JULES BRIMONT'!H82</f>
        <v>0</v>
      </c>
    </row>
    <row r="83" spans="2:8" outlineLevel="1" x14ac:dyDescent="0.25">
      <c r="D83" s="111" t="s">
        <v>209</v>
      </c>
      <c r="E83" s="96">
        <f>'SCI 34 RUE HAUTE'!E83+'SCI LEGRAND'!E83+'SCI ARMEE ORIENT'!E83+'SCI CHENNEVIERES'!E83+'SCI TAVERNY'!E83+'SCI GENERAL JULES BRIMONT'!E83</f>
        <v>87483</v>
      </c>
      <c r="F83" s="96">
        <f>'SCI 34 RUE HAUTE'!F83+'SCI LEGRAND'!F83+'SCI ARMEE ORIENT'!F83+'SCI CHENNEVIERES'!F83+'SCI TAVERNY'!F83+'SCI GENERAL JULES BRIMONT'!F83</f>
        <v>87483</v>
      </c>
      <c r="G83" s="96">
        <f>'SCI 34 RUE HAUTE'!G83+'SCI LEGRAND'!G83+'SCI ARMEE ORIENT'!G83+'SCI CHENNEVIERES'!G83+'SCI TAVERNY'!G83+'SCI GENERAL JULES BRIMONT'!G83</f>
        <v>17867</v>
      </c>
      <c r="H83" s="96">
        <f>'SCI 34 RUE HAUTE'!H83+'SCI LEGRAND'!H83+'SCI ARMEE ORIENT'!H83+'SCI CHENNEVIERES'!H83+'SCI TAVERNY'!H83+'SCI GENERAL JULES BRIMONT'!H83</f>
        <v>0</v>
      </c>
    </row>
    <row r="84" spans="2:8" outlineLevel="1" x14ac:dyDescent="0.25">
      <c r="D84" s="114" t="s">
        <v>210</v>
      </c>
      <c r="E84" s="115">
        <f>'SCI 34 RUE HAUTE'!E84+'SCI LEGRAND'!E84+'SCI ARMEE ORIENT'!E84+'SCI CHENNEVIERES'!E84+'SCI TAVERNY'!E84+'SCI GENERAL JULES BRIMONT'!E84</f>
        <v>9344</v>
      </c>
      <c r="F84" s="115">
        <f>'SCI 34 RUE HAUTE'!F84+'SCI LEGRAND'!F84+'SCI ARMEE ORIENT'!F84+'SCI CHENNEVIERES'!F84+'SCI TAVERNY'!F84+'SCI GENERAL JULES BRIMONT'!F84</f>
        <v>73926</v>
      </c>
      <c r="G84" s="115">
        <f>'SCI 34 RUE HAUTE'!G84+'SCI LEGRAND'!G84+'SCI ARMEE ORIENT'!G84+'SCI CHENNEVIERES'!G84+'SCI TAVERNY'!G84+'SCI GENERAL JULES BRIMONT'!G84</f>
        <v>70291</v>
      </c>
      <c r="H84" s="115">
        <f>'SCI 34 RUE HAUTE'!H84+'SCI LEGRAND'!H84+'SCI ARMEE ORIENT'!H84+'SCI CHENNEVIERES'!H84+'SCI TAVERNY'!H84+'SCI GENERAL JULES BRIMONT'!H84</f>
        <v>0</v>
      </c>
    </row>
    <row r="86" spans="2:8" collapsed="1" x14ac:dyDescent="0.25">
      <c r="D86" s="92" t="s">
        <v>213</v>
      </c>
      <c r="E86" s="97">
        <f>SUM(E87:E92)</f>
        <v>9457645</v>
      </c>
      <c r="F86" s="97">
        <f>SUM(F87:F92)</f>
        <v>10944836</v>
      </c>
      <c r="G86" s="97">
        <f t="shared" ref="G86:H86" si="2">SUM(G87:G92)</f>
        <v>8909535</v>
      </c>
      <c r="H86" s="97">
        <f t="shared" si="2"/>
        <v>0</v>
      </c>
    </row>
    <row r="87" spans="2:8" outlineLevel="1" x14ac:dyDescent="0.25">
      <c r="D87" s="112" t="s">
        <v>212</v>
      </c>
      <c r="E87" s="113">
        <f>'SCI 34 RUE HAUTE'!E87+'SCI LEGRAND'!E87+'SCI ARMEE ORIENT'!E87+'SCI CHENNEVIERES'!E87+'SCI TAVERNY'!E87+'SCI GENERAL JULES BRIMONT'!E87</f>
        <v>3635535</v>
      </c>
      <c r="F87" s="113">
        <f>'SCI 34 RUE HAUTE'!F87+'SCI LEGRAND'!F87+'SCI ARMEE ORIENT'!F87+'SCI CHENNEVIERES'!F87+'SCI TAVERNY'!F87+'SCI GENERAL JULES BRIMONT'!F87</f>
        <v>4369535</v>
      </c>
      <c r="G87" s="113">
        <f>'SCI 34 RUE HAUTE'!G87+'SCI LEGRAND'!G87+'SCI ARMEE ORIENT'!G87+'SCI CHENNEVIERES'!G87+'SCI TAVERNY'!G87+'SCI GENERAL JULES BRIMONT'!G87</f>
        <v>2960612</v>
      </c>
      <c r="H87" s="113">
        <f>'SCI 34 RUE HAUTE'!H87+'SCI LEGRAND'!H87+'SCI ARMEE ORIENT'!H87+'SCI CHENNEVIERES'!H87+'SCI TAVERNY'!H87+'SCI GENERAL JULES BRIMONT'!H87</f>
        <v>0</v>
      </c>
    </row>
    <row r="88" spans="2:8" outlineLevel="1" x14ac:dyDescent="0.25">
      <c r="D88" s="111" t="s">
        <v>212</v>
      </c>
      <c r="E88" s="96">
        <f>'SCI 34 RUE HAUTE'!E88+'SCI LEGRAND'!E88+'SCI ARMEE ORIENT'!E88+'SCI CHENNEVIERES'!E88+'SCI TAVERNY'!E88+'SCI GENERAL JULES BRIMONT'!E88</f>
        <v>5108923</v>
      </c>
      <c r="F88" s="96">
        <f>'SCI 34 RUE HAUTE'!F88+'SCI LEGRAND'!F88+'SCI ARMEE ORIENT'!F88+'SCI CHENNEVIERES'!F88+'SCI TAVERNY'!F88+'SCI GENERAL JULES BRIMONT'!F88</f>
        <v>5948923</v>
      </c>
      <c r="G88" s="96">
        <f>'SCI 34 RUE HAUTE'!G88+'SCI LEGRAND'!G88+'SCI ARMEE ORIENT'!G88+'SCI CHENNEVIERES'!G88+'SCI TAVERNY'!G88+'SCI GENERAL JULES BRIMONT'!G88</f>
        <v>5948923</v>
      </c>
      <c r="H88" s="96">
        <f>'SCI 34 RUE HAUTE'!H88+'SCI LEGRAND'!H88+'SCI ARMEE ORIENT'!H88+'SCI CHENNEVIERES'!H88+'SCI TAVERNY'!H88+'SCI GENERAL JULES BRIMONT'!H88</f>
        <v>0</v>
      </c>
    </row>
    <row r="89" spans="2:8" outlineLevel="1" x14ac:dyDescent="0.25">
      <c r="D89" s="111" t="s">
        <v>294</v>
      </c>
      <c r="E89" s="96">
        <f>'SCI 34 RUE HAUTE'!E89+'SCI LEGRAND'!E89+'SCI ARMEE ORIENT'!E89+'SCI CHENNEVIERES'!E89+'SCI TAVERNY'!E89+'SCI GENERAL JULES BRIMONT'!E89</f>
        <v>0</v>
      </c>
      <c r="F89" s="96">
        <f>'SCI 34 RUE HAUTE'!F89+'SCI LEGRAND'!F89+'SCI ARMEE ORIENT'!F89+'SCI CHENNEVIERES'!F89+'SCI TAVERNY'!F89+'SCI GENERAL JULES BRIMONT'!F89</f>
        <v>0</v>
      </c>
      <c r="G89" s="96">
        <f>'SCI 34 RUE HAUTE'!G89+'SCI LEGRAND'!G89+'SCI ARMEE ORIENT'!G89+'SCI CHENNEVIERES'!G89+'SCI TAVERNY'!G89+'SCI GENERAL JULES BRIMONT'!G89</f>
        <v>0</v>
      </c>
      <c r="H89" s="96">
        <f>'SCI 34 RUE HAUTE'!H89+'SCI LEGRAND'!H89+'SCI ARMEE ORIENT'!H89+'SCI CHENNEVIERES'!H89+'SCI TAVERNY'!H89+'SCI GENERAL JULES BRIMONT'!H89</f>
        <v>0</v>
      </c>
    </row>
    <row r="90" spans="2:8" outlineLevel="1" x14ac:dyDescent="0.25">
      <c r="D90" s="111" t="s">
        <v>214</v>
      </c>
      <c r="E90" s="96">
        <f>'SCI 34 RUE HAUTE'!E90+'SCI LEGRAND'!E90+'SCI ARMEE ORIENT'!E90+'SCI CHENNEVIERES'!E90+'SCI TAVERNY'!E90+'SCI GENERAL JULES BRIMONT'!E90</f>
        <v>209305</v>
      </c>
      <c r="F90" s="96">
        <f>'SCI 34 RUE HAUTE'!F90+'SCI LEGRAND'!F90+'SCI ARMEE ORIENT'!F90+'SCI CHENNEVIERES'!F90+'SCI TAVERNY'!F90+'SCI GENERAL JULES BRIMONT'!F90</f>
        <v>301421</v>
      </c>
      <c r="G90" s="96">
        <f>'SCI 34 RUE HAUTE'!G90+'SCI LEGRAND'!G90+'SCI ARMEE ORIENT'!G90+'SCI CHENNEVIERES'!G90+'SCI TAVERNY'!G90+'SCI GENERAL JULES BRIMONT'!G90</f>
        <v>0</v>
      </c>
      <c r="H90" s="96">
        <f>'SCI 34 RUE HAUTE'!H90+'SCI LEGRAND'!H90+'SCI ARMEE ORIENT'!H90+'SCI CHENNEVIERES'!H90+'SCI TAVERNY'!H90+'SCI GENERAL JULES BRIMONT'!H90</f>
        <v>0</v>
      </c>
    </row>
    <row r="91" spans="2:8" outlineLevel="1" x14ac:dyDescent="0.25">
      <c r="D91" s="111" t="s">
        <v>215</v>
      </c>
      <c r="E91" s="96">
        <f>'SCI 34 RUE HAUTE'!E91+'SCI LEGRAND'!E91+'SCI ARMEE ORIENT'!E91+'SCI CHENNEVIERES'!E91+'SCI TAVERNY'!E91+'SCI GENERAL JULES BRIMONT'!E91</f>
        <v>249728</v>
      </c>
      <c r="F91" s="96">
        <f>'SCI 34 RUE HAUTE'!F91+'SCI LEGRAND'!F91+'SCI ARMEE ORIENT'!F91+'SCI CHENNEVIERES'!F91+'SCI TAVERNY'!F91+'SCI GENERAL JULES BRIMONT'!F91</f>
        <v>310344</v>
      </c>
      <c r="G91" s="96">
        <f>'SCI 34 RUE HAUTE'!G91+'SCI LEGRAND'!G91+'SCI ARMEE ORIENT'!G91+'SCI CHENNEVIERES'!G91+'SCI TAVERNY'!G91+'SCI GENERAL JULES BRIMONT'!G91</f>
        <v>0</v>
      </c>
      <c r="H91" s="96">
        <f>'SCI 34 RUE HAUTE'!H91+'SCI LEGRAND'!H91+'SCI ARMEE ORIENT'!H91+'SCI CHENNEVIERES'!H91+'SCI TAVERNY'!H91+'SCI GENERAL JULES BRIMONT'!H91</f>
        <v>0</v>
      </c>
    </row>
    <row r="92" spans="2:8" outlineLevel="1" x14ac:dyDescent="0.25">
      <c r="D92" s="114" t="s">
        <v>216</v>
      </c>
      <c r="E92" s="115">
        <f>'SCI 34 RUE HAUTE'!E92+'SCI LEGRAND'!E92+'SCI ARMEE ORIENT'!E92+'SCI CHENNEVIERES'!E92+'SCI TAVERNY'!E92+'SCI GENERAL JULES BRIMONT'!E92</f>
        <v>254154</v>
      </c>
      <c r="F92" s="115">
        <f>'SCI 34 RUE HAUTE'!F92+'SCI LEGRAND'!F92+'SCI ARMEE ORIENT'!F92+'SCI CHENNEVIERES'!F92+'SCI TAVERNY'!F92+'SCI GENERAL JULES BRIMONT'!F92</f>
        <v>14613</v>
      </c>
      <c r="G92" s="115">
        <f>'SCI 34 RUE HAUTE'!G92+'SCI LEGRAND'!G92+'SCI ARMEE ORIENT'!G92+'SCI CHENNEVIERES'!G92+'SCI TAVERNY'!G92+'SCI GENERAL JULES BRIMONT'!G92</f>
        <v>0</v>
      </c>
      <c r="H92" s="115">
        <f>'SCI 34 RUE HAUTE'!H92+'SCI LEGRAND'!H92+'SCI ARMEE ORIENT'!H92+'SCI CHENNEVIERES'!H92+'SCI TAVERNY'!H92+'SCI GENERAL JULES BRIMONT'!H92</f>
        <v>0</v>
      </c>
    </row>
    <row r="95" spans="2:8" collapsed="1" x14ac:dyDescent="0.25">
      <c r="B95" s="158" t="s">
        <v>278</v>
      </c>
      <c r="C95" s="158" t="s">
        <v>277</v>
      </c>
      <c r="D95" s="92" t="s">
        <v>221</v>
      </c>
      <c r="E95" s="97">
        <f>SUM(E96:E107)</f>
        <v>8824791</v>
      </c>
      <c r="F95" s="97">
        <f>SUM(F96:F107)</f>
        <v>9454038</v>
      </c>
      <c r="G95" s="97">
        <f t="shared" ref="G95:H95" si="3">SUM(G96:G107)</f>
        <v>8488688.4039248489</v>
      </c>
      <c r="H95" s="97">
        <f t="shared" si="3"/>
        <v>1610125.6179149498</v>
      </c>
    </row>
    <row r="96" spans="2:8" outlineLevel="1" x14ac:dyDescent="0.25">
      <c r="B96">
        <v>2035</v>
      </c>
      <c r="C96" s="159">
        <v>1.35E-2</v>
      </c>
      <c r="D96" s="112" t="s">
        <v>217</v>
      </c>
      <c r="E96" s="113">
        <f>'SCI 34 RUE HAUTE'!E96+'SCI LEGRAND'!E96+'SCI ARMEE ORIENT'!E96+'SCI CHENNEVIERES'!E96+'SCI TAVERNY'!E96+'SCI GENERAL JULES BRIMONT'!E96</f>
        <v>3229589</v>
      </c>
      <c r="F96" s="113">
        <f>'SCI 34 RUE HAUTE'!F96+'SCI LEGRAND'!F96+'SCI ARMEE ORIENT'!F96+'SCI CHENNEVIERES'!F96+'SCI TAVERNY'!F96+'SCI GENERAL JULES BRIMONT'!F96</f>
        <v>3593114</v>
      </c>
      <c r="G96" s="113">
        <f>'SCI 34 RUE HAUTE'!G96+'SCI LEGRAND'!G96+'SCI ARMEE ORIENT'!G96+'SCI CHENNEVIERES'!G96+'SCI TAVERNY'!G96+'SCI GENERAL JULES BRIMONT'!G96</f>
        <v>3339373.7736912738</v>
      </c>
      <c r="H96" s="113">
        <f>'SCI 34 RUE HAUTE'!H96+'SCI LEGRAND'!H96+'SCI ARMEE ORIENT'!H96+'SCI CHENNEVIERES'!H96+'SCI TAVERNY'!H96+'SCI GENERAL JULES BRIMONT'!H96</f>
        <v>277076.47760202223</v>
      </c>
    </row>
    <row r="97" spans="2:8" outlineLevel="1" x14ac:dyDescent="0.25">
      <c r="B97">
        <v>2036</v>
      </c>
      <c r="C97" s="159">
        <v>1.35E-2</v>
      </c>
      <c r="D97" s="111" t="s">
        <v>218</v>
      </c>
      <c r="E97" s="96">
        <f>'SCI 34 RUE HAUTE'!E97+'SCI LEGRAND'!E97+'SCI ARMEE ORIENT'!E97+'SCI CHENNEVIERES'!E97+'SCI TAVERNY'!E97+'SCI GENERAL JULES BRIMONT'!E97</f>
        <v>4591970</v>
      </c>
      <c r="F97" s="96">
        <f>'SCI 34 RUE HAUTE'!F97+'SCI LEGRAND'!F97+'SCI ARMEE ORIENT'!F97+'SCI CHENNEVIERES'!F97+'SCI TAVERNY'!F97+'SCI GENERAL JULES BRIMONT'!F97</f>
        <v>4845505</v>
      </c>
      <c r="G97" s="96">
        <f>'SCI 34 RUE HAUTE'!G97+'SCI LEGRAND'!G97+'SCI ARMEE ORIENT'!G97+'SCI CHENNEVIERES'!G97+'SCI TAVERNY'!G97+'SCI GENERAL JULES BRIMONT'!G97</f>
        <v>4567857.7829993451</v>
      </c>
      <c r="H97" s="96">
        <f>'SCI 34 RUE HAUTE'!H97+'SCI LEGRAND'!H97+'SCI ARMEE ORIENT'!H97+'SCI CHENNEVIERES'!H97+'SCI TAVERNY'!H97+'SCI GENERAL JULES BRIMONT'!H97</f>
        <v>1070464.9101257892</v>
      </c>
    </row>
    <row r="98" spans="2:8" outlineLevel="1" x14ac:dyDescent="0.25">
      <c r="B98">
        <v>2032</v>
      </c>
      <c r="C98" s="159">
        <v>3.5299999999999998E-2</v>
      </c>
      <c r="D98" s="111" t="s">
        <v>275</v>
      </c>
      <c r="E98" s="96">
        <f>'SCI 34 RUE HAUTE'!E98+'SCI LEGRAND'!E98+'SCI ARMEE ORIENT'!E98+'SCI CHENNEVIERES'!E98+'SCI TAVERNY'!E98+'SCI GENERAL JULES BRIMONT'!E98</f>
        <v>0</v>
      </c>
      <c r="F98" s="96">
        <f>'SCI 34 RUE HAUTE'!F98+'SCI LEGRAND'!F98+'SCI ARMEE ORIENT'!F98+'SCI CHENNEVIERES'!F98+'SCI TAVERNY'!F98+'SCI GENERAL JULES BRIMONT'!F98</f>
        <v>0</v>
      </c>
      <c r="G98" s="96">
        <f>'SCI 34 RUE HAUTE'!G98+'SCI LEGRAND'!G98+'SCI ARMEE ORIENT'!G98+'SCI CHENNEVIERES'!G98+'SCI TAVERNY'!G98+'SCI GENERAL JULES BRIMONT'!G98</f>
        <v>308928.84723423043</v>
      </c>
      <c r="H98" s="96">
        <f>'SCI 34 RUE HAUTE'!H98+'SCI LEGRAND'!H98+'SCI ARMEE ORIENT'!H98+'SCI CHENNEVIERES'!H98+'SCI TAVERNY'!H98+'SCI GENERAL JULES BRIMONT'!H98</f>
        <v>262584.23018713825</v>
      </c>
    </row>
    <row r="99" spans="2:8" outlineLevel="1" x14ac:dyDescent="0.25">
      <c r="D99" s="111" t="s">
        <v>219</v>
      </c>
      <c r="E99" s="96">
        <f>'SCI 34 RUE HAUTE'!E99+'SCI LEGRAND'!E99+'SCI ARMEE ORIENT'!E99+'SCI CHENNEVIERES'!E99+'SCI TAVERNY'!E99+'SCI GENERAL JULES BRIMONT'!E99</f>
        <v>26166</v>
      </c>
      <c r="F99" s="96">
        <f>'SCI 34 RUE HAUTE'!F99+'SCI LEGRAND'!F99+'SCI ARMEE ORIENT'!F99+'SCI CHENNEVIERES'!F99+'SCI TAVERNY'!F99+'SCI GENERAL JULES BRIMONT'!F99</f>
        <v>55592</v>
      </c>
      <c r="G99" s="96">
        <f>'SCI 34 RUE HAUTE'!G99+'SCI LEGRAND'!G99+'SCI ARMEE ORIENT'!G99+'SCI CHENNEVIERES'!G99+'SCI TAVERNY'!G99+'SCI GENERAL JULES BRIMONT'!G99</f>
        <v>46975</v>
      </c>
      <c r="H99" s="96">
        <f>'SCI 34 RUE HAUTE'!H99+'SCI LEGRAND'!H99+'SCI ARMEE ORIENT'!H99+'SCI CHENNEVIERES'!H99+'SCI TAVERNY'!H99+'SCI GENERAL JULES BRIMONT'!H99</f>
        <v>0</v>
      </c>
    </row>
    <row r="100" spans="2:8" outlineLevel="1" x14ac:dyDescent="0.25">
      <c r="D100" s="111" t="s">
        <v>220</v>
      </c>
      <c r="E100" s="96">
        <f>'SCI 34 RUE HAUTE'!E100+'SCI LEGRAND'!E100+'SCI ARMEE ORIENT'!E100+'SCI CHENNEVIERES'!E100+'SCI TAVERNY'!E100+'SCI GENERAL JULES BRIMONT'!E100</f>
        <v>45667</v>
      </c>
      <c r="F100" s="96">
        <f>'SCI 34 RUE HAUTE'!F100+'SCI LEGRAND'!F100+'SCI ARMEE ORIENT'!F100+'SCI CHENNEVIERES'!F100+'SCI TAVERNY'!F100+'SCI GENERAL JULES BRIMONT'!F100</f>
        <v>89210</v>
      </c>
      <c r="G100" s="96">
        <f>'SCI 34 RUE HAUTE'!G100+'SCI LEGRAND'!G100+'SCI ARMEE ORIENT'!G100+'SCI CHENNEVIERES'!G100+'SCI TAVERNY'!G100+'SCI GENERAL JULES BRIMONT'!G100</f>
        <v>66242</v>
      </c>
      <c r="H100" s="96">
        <f>'SCI 34 RUE HAUTE'!H100+'SCI LEGRAND'!H100+'SCI ARMEE ORIENT'!H100+'SCI CHENNEVIERES'!H100+'SCI TAVERNY'!H100+'SCI GENERAL JULES BRIMONT'!H100</f>
        <v>0</v>
      </c>
    </row>
    <row r="101" spans="2:8" outlineLevel="1" x14ac:dyDescent="0.25">
      <c r="D101" s="111" t="s">
        <v>294</v>
      </c>
      <c r="E101" s="96">
        <f>'SCI 34 RUE HAUTE'!E101+'SCI LEGRAND'!E101+'SCI ARMEE ORIENT'!E101+'SCI CHENNEVIERES'!E101+'SCI TAVERNY'!E101+'SCI GENERAL JULES BRIMONT'!E101</f>
        <v>111579</v>
      </c>
      <c r="F101" s="96">
        <f>'SCI 34 RUE HAUTE'!F101+'SCI LEGRAND'!F101+'SCI ARMEE ORIENT'!F101+'SCI CHENNEVIERES'!F101+'SCI TAVERNY'!F101+'SCI GENERAL JULES BRIMONT'!F101</f>
        <v>110108</v>
      </c>
      <c r="G101" s="96">
        <f>'SCI 34 RUE HAUTE'!G101+'SCI LEGRAND'!G101+'SCI ARMEE ORIENT'!G101+'SCI CHENNEVIERES'!G101+'SCI TAVERNY'!G101+'SCI GENERAL JULES BRIMONT'!G101</f>
        <v>149178</v>
      </c>
      <c r="H101" s="96">
        <f>'SCI 34 RUE HAUTE'!H101+'SCI LEGRAND'!H101+'SCI ARMEE ORIENT'!H101+'SCI CHENNEVIERES'!H101+'SCI TAVERNY'!H101+'SCI GENERAL JULES BRIMONT'!H101</f>
        <v>0</v>
      </c>
    </row>
    <row r="102" spans="2:8" outlineLevel="1" x14ac:dyDescent="0.25">
      <c r="D102" s="111" t="s">
        <v>214</v>
      </c>
      <c r="E102" s="96">
        <f>'SCI 34 RUE HAUTE'!E102+'SCI LEGRAND'!E102+'SCI ARMEE ORIENT'!E102+'SCI CHENNEVIERES'!E102+'SCI TAVERNY'!E102+'SCI GENERAL JULES BRIMONT'!E102</f>
        <v>210055</v>
      </c>
      <c r="F102" s="96">
        <f>'SCI 34 RUE HAUTE'!F102+'SCI LEGRAND'!F102+'SCI ARMEE ORIENT'!F102+'SCI CHENNEVIERES'!F102+'SCI TAVERNY'!F102+'SCI GENERAL JULES BRIMONT'!F102</f>
        <v>304697</v>
      </c>
      <c r="G102" s="96">
        <f>'SCI 34 RUE HAUTE'!G102+'SCI LEGRAND'!G102+'SCI ARMEE ORIENT'!G102+'SCI CHENNEVIERES'!G102+'SCI TAVERNY'!G102+'SCI GENERAL JULES BRIMONT'!G102</f>
        <v>0</v>
      </c>
      <c r="H102" s="96">
        <f>'SCI 34 RUE HAUTE'!H102+'SCI LEGRAND'!H102+'SCI ARMEE ORIENT'!H102+'SCI CHENNEVIERES'!H102+'SCI TAVERNY'!H102+'SCI GENERAL JULES BRIMONT'!H102</f>
        <v>0</v>
      </c>
    </row>
    <row r="103" spans="2:8" outlineLevel="1" x14ac:dyDescent="0.25">
      <c r="D103" s="111" t="s">
        <v>215</v>
      </c>
      <c r="E103" s="96">
        <f>'SCI 34 RUE HAUTE'!E103+'SCI LEGRAND'!E103+'SCI ARMEE ORIENT'!E103+'SCI CHENNEVIERES'!E103+'SCI TAVERNY'!E103+'SCI GENERAL JULES BRIMONT'!E103</f>
        <v>249728</v>
      </c>
      <c r="F103" s="96">
        <f>'SCI 34 RUE HAUTE'!F103+'SCI LEGRAND'!F103+'SCI ARMEE ORIENT'!F103+'SCI CHENNEVIERES'!F103+'SCI TAVERNY'!F103+'SCI GENERAL JULES BRIMONT'!F103</f>
        <v>329322</v>
      </c>
      <c r="G103" s="96">
        <f>'SCI 34 RUE HAUTE'!G103+'SCI LEGRAND'!G103+'SCI ARMEE ORIENT'!G103+'SCI CHENNEVIERES'!G103+'SCI TAVERNY'!G103+'SCI GENERAL JULES BRIMONT'!G103</f>
        <v>0</v>
      </c>
      <c r="H103" s="96">
        <f>'SCI 34 RUE HAUTE'!H103+'SCI LEGRAND'!H103+'SCI ARMEE ORIENT'!H103+'SCI CHENNEVIERES'!H103+'SCI TAVERNY'!H103+'SCI GENERAL JULES BRIMONT'!H103</f>
        <v>0</v>
      </c>
    </row>
    <row r="104" spans="2:8" outlineLevel="1" x14ac:dyDescent="0.25">
      <c r="D104" s="111" t="s">
        <v>222</v>
      </c>
      <c r="E104" s="96">
        <f>'SCI 34 RUE HAUTE'!E104+'SCI LEGRAND'!E104+'SCI ARMEE ORIENT'!E104+'SCI CHENNEVIERES'!E104+'SCI TAVERNY'!E104+'SCI GENERAL JULES BRIMONT'!E104</f>
        <v>46510</v>
      </c>
      <c r="F104" s="96">
        <f>'SCI 34 RUE HAUTE'!F104+'SCI LEGRAND'!F104+'SCI ARMEE ORIENT'!F104+'SCI CHENNEVIERES'!F104+'SCI TAVERNY'!F104+'SCI GENERAL JULES BRIMONT'!F104</f>
        <v>47399</v>
      </c>
      <c r="G104" s="96">
        <f>'SCI 34 RUE HAUTE'!G104+'SCI LEGRAND'!G104+'SCI ARMEE ORIENT'!G104+'SCI CHENNEVIERES'!G104+'SCI TAVERNY'!G104+'SCI GENERAL JULES BRIMONT'!G104</f>
        <v>9522</v>
      </c>
      <c r="H104" s="96">
        <f>'SCI 34 RUE HAUTE'!H104+'SCI LEGRAND'!H104+'SCI ARMEE ORIENT'!H104+'SCI CHENNEVIERES'!H104+'SCI TAVERNY'!H104+'SCI GENERAL JULES BRIMONT'!H104</f>
        <v>0</v>
      </c>
    </row>
    <row r="105" spans="2:8" outlineLevel="1" x14ac:dyDescent="0.25">
      <c r="D105" s="111" t="s">
        <v>224</v>
      </c>
      <c r="E105" s="96">
        <f>'SCI 34 RUE HAUTE'!E105+'SCI LEGRAND'!E105+'SCI ARMEE ORIENT'!E105+'SCI CHENNEVIERES'!E105+'SCI TAVERNY'!E105+'SCI GENERAL JULES BRIMONT'!E105</f>
        <v>292643</v>
      </c>
      <c r="F105" s="96">
        <f>'SCI 34 RUE HAUTE'!F105+'SCI LEGRAND'!F105+'SCI ARMEE ORIENT'!F105+'SCI CHENNEVIERES'!F105+'SCI TAVERNY'!F105+'SCI GENERAL JULES BRIMONT'!F105</f>
        <v>48202</v>
      </c>
      <c r="G105" s="96">
        <f>'SCI 34 RUE HAUTE'!G105+'SCI LEGRAND'!G105+'SCI ARMEE ORIENT'!G105+'SCI CHENNEVIERES'!G105+'SCI TAVERNY'!G105+'SCI GENERAL JULES BRIMONT'!G105</f>
        <v>0</v>
      </c>
      <c r="H105" s="96">
        <f>'SCI 34 RUE HAUTE'!H105+'SCI LEGRAND'!H105+'SCI ARMEE ORIENT'!H105+'SCI CHENNEVIERES'!H105+'SCI TAVERNY'!H105+'SCI GENERAL JULES BRIMONT'!H105</f>
        <v>0</v>
      </c>
    </row>
    <row r="106" spans="2:8" outlineLevel="1" x14ac:dyDescent="0.25">
      <c r="D106" s="111" t="s">
        <v>223</v>
      </c>
      <c r="E106" s="96">
        <f>'SCI 34 RUE HAUTE'!E106+'SCI LEGRAND'!E106+'SCI ARMEE ORIENT'!E106+'SCI CHENNEVIERES'!E106+'SCI TAVERNY'!E106+'SCI GENERAL JULES BRIMONT'!E106</f>
        <v>11075</v>
      </c>
      <c r="F106" s="96">
        <f>'SCI 34 RUE HAUTE'!F106+'SCI LEGRAND'!F106+'SCI ARMEE ORIENT'!F106+'SCI CHENNEVIERES'!F106+'SCI TAVERNY'!F106+'SCI GENERAL JULES BRIMONT'!F106</f>
        <v>12668</v>
      </c>
      <c r="G106" s="96">
        <f>'SCI 34 RUE HAUTE'!G106+'SCI LEGRAND'!G106+'SCI ARMEE ORIENT'!G106+'SCI CHENNEVIERES'!G106+'SCI TAVERNY'!G106+'SCI GENERAL JULES BRIMONT'!G106</f>
        <v>0</v>
      </c>
      <c r="H106" s="96">
        <f>'SCI 34 RUE HAUTE'!H106+'SCI LEGRAND'!H106+'SCI ARMEE ORIENT'!H106+'SCI CHENNEVIERES'!H106+'SCI TAVERNY'!H106+'SCI GENERAL JULES BRIMONT'!H106</f>
        <v>0</v>
      </c>
    </row>
    <row r="107" spans="2:8" outlineLevel="1" x14ac:dyDescent="0.25">
      <c r="D107" s="114" t="s">
        <v>225</v>
      </c>
      <c r="E107" s="115">
        <f>'SCI 34 RUE HAUTE'!E107+'SCI LEGRAND'!E107+'SCI ARMEE ORIENT'!E107+'SCI CHENNEVIERES'!E107+'SCI TAVERNY'!E107+'SCI GENERAL JULES BRIMONT'!E107</f>
        <v>9809</v>
      </c>
      <c r="F107" s="115">
        <f>'SCI 34 RUE HAUTE'!F107+'SCI LEGRAND'!F107+'SCI ARMEE ORIENT'!F107+'SCI CHENNEVIERES'!F107+'SCI TAVERNY'!F107+'SCI GENERAL JULES BRIMONT'!F107</f>
        <v>18221</v>
      </c>
      <c r="G107" s="115">
        <f>'SCI 34 RUE HAUTE'!G107+'SCI LEGRAND'!G107+'SCI ARMEE ORIENT'!G107+'SCI CHENNEVIERES'!G107+'SCI TAVERNY'!G107+'SCI GENERAL JULES BRIMONT'!G107</f>
        <v>611</v>
      </c>
      <c r="H107" s="115">
        <f>'SCI 34 RUE HAUTE'!H107+'SCI LEGRAND'!H107+'SCI ARMEE ORIENT'!H107+'SCI CHENNEVIERES'!H107+'SCI TAVERNY'!H107+'SCI GENERAL JULES BRIMONT'!H107</f>
        <v>0</v>
      </c>
    </row>
    <row r="109" spans="2:8" collapsed="1" x14ac:dyDescent="0.25">
      <c r="D109" s="92" t="s">
        <v>226</v>
      </c>
      <c r="E109" s="97">
        <f>SUM(E110:E119)</f>
        <v>0</v>
      </c>
      <c r="F109" s="97">
        <f>SUM(F110:F119)</f>
        <v>0</v>
      </c>
      <c r="G109" s="97">
        <f t="shared" ref="G109:H109" si="4">SUM(G110:G119)</f>
        <v>0</v>
      </c>
      <c r="H109" s="97">
        <f t="shared" si="4"/>
        <v>0</v>
      </c>
    </row>
    <row r="110" spans="2:8" x14ac:dyDescent="0.25">
      <c r="D110" s="112" t="s">
        <v>227</v>
      </c>
      <c r="E110" s="113"/>
      <c r="F110" s="113"/>
      <c r="G110" s="113"/>
      <c r="H110" s="113"/>
    </row>
    <row r="111" spans="2:8" hidden="1" outlineLevel="1" x14ac:dyDescent="0.25">
      <c r="D111" s="117" t="str">
        <f>D5</f>
        <v>DEUIL LA BARRE Crèche</v>
      </c>
      <c r="E111" s="118">
        <v>0</v>
      </c>
      <c r="F111" s="119">
        <v>0</v>
      </c>
      <c r="G111" s="119">
        <v>0</v>
      </c>
      <c r="H111" s="119"/>
    </row>
    <row r="112" spans="2:8" hidden="1" outlineLevel="1" x14ac:dyDescent="0.25">
      <c r="D112" s="120" t="str">
        <f t="shared" ref="D112:D120" si="5">D6</f>
        <v>DEUIL LA BARRE Ecole</v>
      </c>
      <c r="E112" s="100">
        <v>0</v>
      </c>
      <c r="F112" s="95">
        <v>0</v>
      </c>
      <c r="G112" s="95">
        <v>0</v>
      </c>
      <c r="H112" s="95"/>
    </row>
    <row r="113" spans="4:8" ht="30" hidden="1" outlineLevel="1" x14ac:dyDescent="0.25">
      <c r="D113" s="120" t="str">
        <f t="shared" si="5"/>
        <v>DEUIL LA BARRE Logements 1 appartement avec terrasse et jardin RDC</v>
      </c>
      <c r="E113" s="100">
        <v>0</v>
      </c>
      <c r="F113" s="95">
        <v>0</v>
      </c>
      <c r="G113" s="95">
        <v>0</v>
      </c>
      <c r="H113" s="95"/>
    </row>
    <row r="114" spans="4:8" hidden="1" outlineLevel="1" x14ac:dyDescent="0.25">
      <c r="D114" s="120" t="str">
        <f t="shared" si="5"/>
        <v>DEUIL LA BARRE Logements 2 appartement RDC</v>
      </c>
      <c r="E114" s="100">
        <v>0</v>
      </c>
      <c r="F114" s="95">
        <v>0</v>
      </c>
      <c r="G114" s="95">
        <v>0</v>
      </c>
      <c r="H114" s="95"/>
    </row>
    <row r="115" spans="4:8" hidden="1" outlineLevel="1" x14ac:dyDescent="0.25">
      <c r="D115" s="120" t="str">
        <f t="shared" si="5"/>
        <v>DEUIL LA BARRE Logements 3 1er étage à droite</v>
      </c>
      <c r="E115" s="100">
        <v>0</v>
      </c>
      <c r="F115" s="95">
        <v>0</v>
      </c>
      <c r="G115" s="95">
        <v>0</v>
      </c>
      <c r="H115" s="95"/>
    </row>
    <row r="116" spans="4:8" hidden="1" outlineLevel="1" x14ac:dyDescent="0.25">
      <c r="D116" s="120" t="str">
        <f t="shared" si="5"/>
        <v>DEUIL LA BARRE Logements 4 1er étage à gauche</v>
      </c>
      <c r="E116" s="100">
        <v>0</v>
      </c>
      <c r="F116" s="95">
        <v>0</v>
      </c>
      <c r="G116" s="95">
        <v>0</v>
      </c>
      <c r="H116" s="95"/>
    </row>
    <row r="117" spans="4:8" hidden="1" outlineLevel="1" x14ac:dyDescent="0.25">
      <c r="D117" s="120" t="str">
        <f t="shared" si="5"/>
        <v>Location 7</v>
      </c>
      <c r="E117" s="100">
        <v>0</v>
      </c>
      <c r="F117" s="95">
        <v>0</v>
      </c>
      <c r="G117" s="95">
        <v>0</v>
      </c>
      <c r="H117" s="95"/>
    </row>
    <row r="118" spans="4:8" hidden="1" outlineLevel="1" x14ac:dyDescent="0.25">
      <c r="D118" s="120" t="str">
        <f t="shared" si="5"/>
        <v>Location 8</v>
      </c>
      <c r="E118" s="100">
        <v>0</v>
      </c>
      <c r="F118" s="95">
        <v>0</v>
      </c>
      <c r="G118" s="95">
        <v>0</v>
      </c>
      <c r="H118" s="95"/>
    </row>
    <row r="119" spans="4:8" hidden="1" outlineLevel="1" x14ac:dyDescent="0.25">
      <c r="D119" s="120" t="str">
        <f t="shared" si="5"/>
        <v>Location 9</v>
      </c>
      <c r="E119" s="100">
        <v>0</v>
      </c>
      <c r="F119" s="95">
        <v>0</v>
      </c>
      <c r="G119" s="95">
        <v>0</v>
      </c>
      <c r="H119" s="95"/>
    </row>
    <row r="120" spans="4:8" hidden="1" outlineLevel="1" x14ac:dyDescent="0.25">
      <c r="D120" s="120" t="str">
        <f t="shared" si="5"/>
        <v>Location 10</v>
      </c>
      <c r="E120" s="100">
        <v>0</v>
      </c>
      <c r="F120" s="95">
        <v>0</v>
      </c>
      <c r="G120" s="95">
        <v>0</v>
      </c>
      <c r="H120" s="95"/>
    </row>
    <row r="121" spans="4:8" collapsed="1" x14ac:dyDescent="0.25">
      <c r="D121" s="112" t="s">
        <v>228</v>
      </c>
      <c r="E121" s="113"/>
      <c r="F121" s="113"/>
      <c r="G121" s="113"/>
      <c r="H121" s="113"/>
    </row>
    <row r="122" spans="4:8" hidden="1" outlineLevel="1" x14ac:dyDescent="0.25">
      <c r="D122" s="120" t="str">
        <f>D5</f>
        <v>DEUIL LA BARRE Crèche</v>
      </c>
      <c r="E122" s="100">
        <v>0</v>
      </c>
      <c r="F122" s="95">
        <v>0</v>
      </c>
      <c r="G122" s="95">
        <v>0</v>
      </c>
      <c r="H122" s="95"/>
    </row>
    <row r="123" spans="4:8" hidden="1" outlineLevel="1" x14ac:dyDescent="0.25">
      <c r="D123" s="120" t="str">
        <f t="shared" ref="D123:D131" si="6">D6</f>
        <v>DEUIL LA BARRE Ecole</v>
      </c>
      <c r="E123" s="100">
        <v>0</v>
      </c>
      <c r="F123" s="95">
        <v>0</v>
      </c>
      <c r="G123" s="95">
        <v>0</v>
      </c>
      <c r="H123" s="95"/>
    </row>
    <row r="124" spans="4:8" ht="30" hidden="1" outlineLevel="1" x14ac:dyDescent="0.25">
      <c r="D124" s="120" t="str">
        <f t="shared" si="6"/>
        <v>DEUIL LA BARRE Logements 1 appartement avec terrasse et jardin RDC</v>
      </c>
      <c r="E124" s="100">
        <v>0</v>
      </c>
      <c r="F124" s="95">
        <v>0</v>
      </c>
      <c r="G124" s="95">
        <v>0</v>
      </c>
      <c r="H124" s="95"/>
    </row>
    <row r="125" spans="4:8" hidden="1" outlineLevel="1" x14ac:dyDescent="0.25">
      <c r="D125" s="120" t="str">
        <f t="shared" si="6"/>
        <v>DEUIL LA BARRE Logements 2 appartement RDC</v>
      </c>
      <c r="E125" s="100">
        <v>0</v>
      </c>
      <c r="F125" s="95">
        <v>0</v>
      </c>
      <c r="G125" s="95">
        <v>0</v>
      </c>
      <c r="H125" s="95"/>
    </row>
    <row r="126" spans="4:8" hidden="1" outlineLevel="1" x14ac:dyDescent="0.25">
      <c r="D126" s="120" t="str">
        <f t="shared" si="6"/>
        <v>DEUIL LA BARRE Logements 3 1er étage à droite</v>
      </c>
      <c r="E126" s="100">
        <v>0</v>
      </c>
      <c r="F126" s="95">
        <v>0</v>
      </c>
      <c r="G126" s="95">
        <v>0</v>
      </c>
      <c r="H126" s="95"/>
    </row>
    <row r="127" spans="4:8" hidden="1" outlineLevel="1" x14ac:dyDescent="0.25">
      <c r="D127" s="120" t="str">
        <f t="shared" si="6"/>
        <v>DEUIL LA BARRE Logements 4 1er étage à gauche</v>
      </c>
      <c r="E127" s="100">
        <v>0</v>
      </c>
      <c r="F127" s="95">
        <v>0</v>
      </c>
      <c r="G127" s="95">
        <v>0</v>
      </c>
      <c r="H127" s="95"/>
    </row>
    <row r="128" spans="4:8" hidden="1" outlineLevel="1" x14ac:dyDescent="0.25">
      <c r="D128" s="120" t="str">
        <f t="shared" si="6"/>
        <v>Location 7</v>
      </c>
      <c r="E128" s="100">
        <v>0</v>
      </c>
      <c r="F128" s="95">
        <v>0</v>
      </c>
      <c r="G128" s="95">
        <v>0</v>
      </c>
      <c r="H128" s="95"/>
    </row>
    <row r="129" spans="4:8" hidden="1" outlineLevel="1" x14ac:dyDescent="0.25">
      <c r="D129" s="120" t="str">
        <f t="shared" si="6"/>
        <v>Location 8</v>
      </c>
      <c r="E129" s="100">
        <v>0</v>
      </c>
      <c r="F129" s="95">
        <v>0</v>
      </c>
      <c r="G129" s="95">
        <v>0</v>
      </c>
      <c r="H129" s="95"/>
    </row>
    <row r="130" spans="4:8" hidden="1" outlineLevel="1" x14ac:dyDescent="0.25">
      <c r="D130" s="120" t="str">
        <f t="shared" si="6"/>
        <v>Location 9</v>
      </c>
      <c r="E130" s="100">
        <v>0</v>
      </c>
      <c r="F130" s="95">
        <v>0</v>
      </c>
      <c r="G130" s="95">
        <v>0</v>
      </c>
      <c r="H130" s="95"/>
    </row>
    <row r="131" spans="4:8" hidden="1" outlineLevel="1" x14ac:dyDescent="0.25">
      <c r="D131" s="121" t="str">
        <f t="shared" si="6"/>
        <v>Location 10</v>
      </c>
      <c r="E131" s="122">
        <v>0</v>
      </c>
      <c r="F131" s="123">
        <v>0</v>
      </c>
      <c r="G131" s="123">
        <v>0</v>
      </c>
      <c r="H131" s="123"/>
    </row>
    <row r="132" spans="4:8" collapsed="1" x14ac:dyDescent="0.25">
      <c r="D132" s="116"/>
    </row>
    <row r="133" spans="4:8" x14ac:dyDescent="0.25">
      <c r="D133" s="116"/>
    </row>
    <row r="134" spans="4:8" x14ac:dyDescent="0.25">
      <c r="D134" s="116"/>
    </row>
  </sheetData>
  <mergeCells count="2">
    <mergeCell ref="A1:C1"/>
    <mergeCell ref="D29:D3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7AA1-9300-48ED-9820-972F2DD0A39D}">
  <dimension ref="B2:BH24"/>
  <sheetViews>
    <sheetView topLeftCell="A2" workbookViewId="0">
      <pane xSplit="20" ySplit="3" topLeftCell="AX5" activePane="bottomRight" state="frozen"/>
      <selection activeCell="A2" sqref="A2"/>
      <selection pane="topRight" activeCell="U2" sqref="U2"/>
      <selection pane="bottomLeft" activeCell="A5" sqref="A5"/>
      <selection pane="bottomRight" activeCell="A16" sqref="A16:XFD16"/>
    </sheetView>
  </sheetViews>
  <sheetFormatPr baseColWidth="10" defaultRowHeight="15" outlineLevelCol="1" x14ac:dyDescent="0.25"/>
  <cols>
    <col min="2" max="2" width="26.28515625" customWidth="1"/>
    <col min="5" max="5" width="0" hidden="1" customWidth="1"/>
    <col min="6" max="6" width="17.28515625" hidden="1" customWidth="1"/>
    <col min="10" max="20" width="11.42578125" hidden="1" customWidth="1" outlineLevel="1"/>
    <col min="21" max="21" width="11.42578125" collapsed="1"/>
    <col min="22" max="22" width="14" customWidth="1"/>
  </cols>
  <sheetData>
    <row r="2" spans="2:60" x14ac:dyDescent="0.25">
      <c r="Y2" s="163">
        <f>V7-X7</f>
        <v>104903.8728735561</v>
      </c>
    </row>
    <row r="3" spans="2:60" x14ac:dyDescent="0.25">
      <c r="B3" s="124" t="s">
        <v>229</v>
      </c>
      <c r="C3" s="125" t="s">
        <v>230</v>
      </c>
      <c r="D3" s="126" t="s">
        <v>231</v>
      </c>
      <c r="E3" s="126"/>
      <c r="F3" s="127" t="s">
        <v>232</v>
      </c>
      <c r="G3" s="128" t="s">
        <v>233</v>
      </c>
      <c r="H3" s="128"/>
      <c r="I3" s="129" t="s">
        <v>234</v>
      </c>
      <c r="J3" s="130"/>
      <c r="K3" s="218" t="s">
        <v>235</v>
      </c>
      <c r="L3" s="219"/>
      <c r="M3" s="218" t="s">
        <v>236</v>
      </c>
      <c r="N3" s="219"/>
      <c r="O3" s="218" t="s">
        <v>237</v>
      </c>
      <c r="P3" s="219"/>
      <c r="Q3" s="218" t="s">
        <v>238</v>
      </c>
      <c r="R3" s="219"/>
      <c r="S3" s="218" t="s">
        <v>239</v>
      </c>
      <c r="T3" s="219"/>
      <c r="U3" s="218" t="s">
        <v>240</v>
      </c>
      <c r="V3" s="219"/>
      <c r="W3" s="218" t="s">
        <v>241</v>
      </c>
      <c r="X3" s="219"/>
      <c r="Y3" s="218" t="s">
        <v>242</v>
      </c>
      <c r="Z3" s="219"/>
      <c r="AA3" s="218" t="s">
        <v>243</v>
      </c>
      <c r="AB3" s="219"/>
      <c r="AC3" s="218" t="s">
        <v>244</v>
      </c>
      <c r="AD3" s="219"/>
      <c r="AE3" s="216">
        <v>2030</v>
      </c>
      <c r="AF3" s="217"/>
      <c r="AG3" s="216">
        <v>2031</v>
      </c>
      <c r="AH3" s="217"/>
      <c r="AI3" s="216">
        <v>2032</v>
      </c>
      <c r="AJ3" s="217"/>
      <c r="AK3" s="216">
        <v>2033</v>
      </c>
      <c r="AL3" s="217"/>
      <c r="AM3" s="216">
        <v>2034</v>
      </c>
      <c r="AN3" s="217"/>
      <c r="AO3" s="216">
        <v>2035</v>
      </c>
      <c r="AP3" s="217"/>
      <c r="AQ3" s="216">
        <v>2036</v>
      </c>
      <c r="AR3" s="217"/>
      <c r="AS3" s="216">
        <v>2037</v>
      </c>
      <c r="AT3" s="217"/>
      <c r="AU3" s="216">
        <v>2038</v>
      </c>
      <c r="AV3" s="217"/>
      <c r="AW3" s="216">
        <v>2039</v>
      </c>
      <c r="AX3" s="217"/>
      <c r="AY3" s="216">
        <v>2040</v>
      </c>
      <c r="AZ3" s="217"/>
      <c r="BA3" s="216">
        <v>2041</v>
      </c>
      <c r="BB3" s="217"/>
      <c r="BC3" s="216">
        <v>2042</v>
      </c>
      <c r="BD3" s="217"/>
      <c r="BE3" s="216">
        <v>2043</v>
      </c>
      <c r="BF3" s="217"/>
    </row>
    <row r="4" spans="2:60" x14ac:dyDescent="0.25">
      <c r="B4" s="131"/>
      <c r="C4" s="132"/>
      <c r="D4" s="132"/>
      <c r="E4" s="132"/>
      <c r="F4" s="133"/>
      <c r="G4" s="134"/>
      <c r="H4" s="134"/>
      <c r="I4" s="135"/>
      <c r="J4" s="136"/>
      <c r="K4" s="137" t="s">
        <v>245</v>
      </c>
      <c r="L4" s="138" t="s">
        <v>246</v>
      </c>
      <c r="M4" s="137" t="s">
        <v>247</v>
      </c>
      <c r="N4" s="139" t="s">
        <v>248</v>
      </c>
      <c r="O4" s="137" t="s">
        <v>247</v>
      </c>
      <c r="P4" s="138" t="s">
        <v>248</v>
      </c>
      <c r="Q4" s="137" t="s">
        <v>247</v>
      </c>
      <c r="R4" s="138" t="s">
        <v>248</v>
      </c>
      <c r="S4" s="137" t="s">
        <v>247</v>
      </c>
      <c r="T4" s="138" t="s">
        <v>248</v>
      </c>
      <c r="U4" s="137" t="s">
        <v>247</v>
      </c>
      <c r="V4" s="138" t="str">
        <f>"solde fin"&amp;" "&amp;U3</f>
        <v>solde fin 2025</v>
      </c>
      <c r="W4" s="137" t="s">
        <v>247</v>
      </c>
      <c r="X4" s="138" t="str">
        <f t="shared" ref="X4" si="0">"solde fin"&amp;" "&amp;W3</f>
        <v>solde fin 2026</v>
      </c>
      <c r="Y4" s="137" t="s">
        <v>247</v>
      </c>
      <c r="Z4" s="138" t="str">
        <f t="shared" ref="Z4" si="1">"solde fin"&amp;" "&amp;Y3</f>
        <v>solde fin 2027</v>
      </c>
      <c r="AA4" s="137" t="s">
        <v>247</v>
      </c>
      <c r="AB4" s="138" t="str">
        <f t="shared" ref="AB4" si="2">"solde fin"&amp;" "&amp;AA3</f>
        <v>solde fin 2028</v>
      </c>
      <c r="AC4" s="137" t="s">
        <v>247</v>
      </c>
      <c r="AD4" s="138" t="str">
        <f t="shared" ref="AD4" si="3">"solde fin"&amp;" "&amp;AC3</f>
        <v>solde fin 2029</v>
      </c>
      <c r="AE4" s="137" t="s">
        <v>247</v>
      </c>
      <c r="AF4" s="138" t="str">
        <f t="shared" ref="AF4" si="4">"solde fin"&amp;" "&amp;AE3</f>
        <v>solde fin 2030</v>
      </c>
      <c r="AG4" s="137" t="s">
        <v>247</v>
      </c>
      <c r="AH4" s="138" t="str">
        <f t="shared" ref="AH4" si="5">"solde fin"&amp;" "&amp;AG3</f>
        <v>solde fin 2031</v>
      </c>
      <c r="AI4" s="137" t="s">
        <v>247</v>
      </c>
      <c r="AJ4" s="138" t="str">
        <f>"solde fin"&amp;" "&amp;AI3</f>
        <v>solde fin 2032</v>
      </c>
      <c r="AK4" s="137" t="s">
        <v>247</v>
      </c>
      <c r="AL4" s="138" t="str">
        <f t="shared" ref="AL4" si="6">"solde fin"&amp;" "&amp;AK3</f>
        <v>solde fin 2033</v>
      </c>
      <c r="AM4" s="137" t="s">
        <v>247</v>
      </c>
      <c r="AN4" s="138" t="str">
        <f t="shared" ref="AN4" si="7">"solde fin"&amp;" "&amp;AM3</f>
        <v>solde fin 2034</v>
      </c>
      <c r="AO4" s="137" t="s">
        <v>247</v>
      </c>
      <c r="AP4" s="138" t="str">
        <f t="shared" ref="AP4" si="8">"solde fin"&amp;" "&amp;AO3</f>
        <v>solde fin 2035</v>
      </c>
      <c r="AQ4" s="137" t="s">
        <v>247</v>
      </c>
      <c r="AR4" s="138" t="str">
        <f t="shared" ref="AR4:BF4" si="9">"solde fin"&amp;" "&amp;AQ3</f>
        <v>solde fin 2036</v>
      </c>
      <c r="AS4" s="137" t="s">
        <v>247</v>
      </c>
      <c r="AT4" s="138" t="str">
        <f t="shared" si="9"/>
        <v>solde fin 2037</v>
      </c>
      <c r="AU4" s="137" t="s">
        <v>247</v>
      </c>
      <c r="AV4" s="138" t="str">
        <f t="shared" si="9"/>
        <v>solde fin 2038</v>
      </c>
      <c r="AW4" s="137" t="s">
        <v>247</v>
      </c>
      <c r="AX4" s="138" t="str">
        <f t="shared" si="9"/>
        <v>solde fin 2039</v>
      </c>
      <c r="AY4" s="137" t="s">
        <v>247</v>
      </c>
      <c r="AZ4" s="138" t="str">
        <f t="shared" si="9"/>
        <v>solde fin 2040</v>
      </c>
      <c r="BA4" s="137" t="s">
        <v>247</v>
      </c>
      <c r="BB4" s="138" t="str">
        <f t="shared" si="9"/>
        <v>solde fin 2041</v>
      </c>
      <c r="BC4" s="137" t="s">
        <v>247</v>
      </c>
      <c r="BD4" s="138" t="str">
        <f t="shared" si="9"/>
        <v>solde fin 2042</v>
      </c>
      <c r="BE4" s="137" t="s">
        <v>247</v>
      </c>
      <c r="BF4" s="138" t="str">
        <f t="shared" si="9"/>
        <v>solde fin 2043</v>
      </c>
    </row>
    <row r="5" spans="2:60" x14ac:dyDescent="0.25">
      <c r="B5" s="140" t="s">
        <v>249</v>
      </c>
      <c r="C5" s="141" t="s">
        <v>250</v>
      </c>
      <c r="D5" s="142" t="s">
        <v>145</v>
      </c>
      <c r="E5" s="142"/>
      <c r="F5" s="141">
        <v>0</v>
      </c>
      <c r="G5" s="142">
        <v>435000</v>
      </c>
      <c r="H5" s="143">
        <v>1.2999999999999999E-2</v>
      </c>
      <c r="I5" s="144">
        <v>44140</v>
      </c>
      <c r="J5" s="145"/>
      <c r="K5" s="140">
        <v>5488.74</v>
      </c>
      <c r="L5" s="100">
        <v>430451.29745333333</v>
      </c>
      <c r="M5" s="140">
        <v>32932.439999999995</v>
      </c>
      <c r="N5" s="142">
        <v>402951.25428985729</v>
      </c>
      <c r="O5" s="140">
        <v>32932.439999999995</v>
      </c>
      <c r="P5" s="100">
        <v>375091.57274690922</v>
      </c>
      <c r="Q5" s="140">
        <v>32932.439999999995</v>
      </c>
      <c r="R5" s="100">
        <v>346867.54956772621</v>
      </c>
      <c r="S5" s="140">
        <v>32932.439999999995</v>
      </c>
      <c r="T5" s="100">
        <v>318274.41998758219</v>
      </c>
      <c r="U5" s="140">
        <v>319972.38</v>
      </c>
      <c r="V5" s="100">
        <v>2.8812288073822856E-3</v>
      </c>
      <c r="W5" s="140">
        <v>0</v>
      </c>
      <c r="X5" s="100">
        <v>0</v>
      </c>
      <c r="Y5" s="140">
        <v>0</v>
      </c>
      <c r="Z5" s="100">
        <v>0</v>
      </c>
      <c r="AA5" s="140">
        <v>0</v>
      </c>
      <c r="AB5" s="100">
        <v>0</v>
      </c>
      <c r="AC5" s="140">
        <v>0</v>
      </c>
      <c r="AD5" s="100">
        <v>0</v>
      </c>
      <c r="AE5" s="140">
        <v>0</v>
      </c>
      <c r="AF5" s="100">
        <v>0</v>
      </c>
      <c r="AG5" s="140">
        <v>0</v>
      </c>
      <c r="AH5" s="100">
        <v>0</v>
      </c>
      <c r="AI5" s="140">
        <v>0</v>
      </c>
      <c r="AJ5" s="100">
        <v>0</v>
      </c>
      <c r="AK5" s="140">
        <v>0</v>
      </c>
      <c r="AL5" s="100">
        <v>0</v>
      </c>
      <c r="AM5" s="140">
        <v>0</v>
      </c>
      <c r="AN5" s="100">
        <v>0</v>
      </c>
      <c r="AO5" s="140">
        <v>0</v>
      </c>
      <c r="AP5" s="100">
        <v>0</v>
      </c>
      <c r="AQ5" s="140">
        <v>0</v>
      </c>
      <c r="AR5" s="100">
        <v>0</v>
      </c>
      <c r="AS5" s="140">
        <v>0</v>
      </c>
      <c r="AT5" s="100">
        <v>0</v>
      </c>
      <c r="AU5" s="140">
        <v>0</v>
      </c>
      <c r="AV5" s="100">
        <v>0</v>
      </c>
      <c r="AW5" s="140">
        <v>0</v>
      </c>
      <c r="AX5" s="100">
        <v>0</v>
      </c>
      <c r="AY5" s="140">
        <v>0</v>
      </c>
      <c r="AZ5" s="100">
        <v>0</v>
      </c>
      <c r="BA5" s="140">
        <v>0</v>
      </c>
      <c r="BB5" s="100">
        <v>0</v>
      </c>
      <c r="BC5" s="140">
        <v>0</v>
      </c>
      <c r="BD5" s="100">
        <v>0</v>
      </c>
      <c r="BE5" s="140">
        <v>0</v>
      </c>
      <c r="BF5" s="100">
        <v>0</v>
      </c>
      <c r="BH5" s="163">
        <f>(V5-X5)-U5</f>
        <v>-319972.3771187712</v>
      </c>
    </row>
    <row r="6" spans="2:60" x14ac:dyDescent="0.25">
      <c r="B6" s="140" t="s">
        <v>251</v>
      </c>
      <c r="C6" s="141" t="s">
        <v>252</v>
      </c>
      <c r="D6" s="142" t="s">
        <v>145</v>
      </c>
      <c r="E6" s="142"/>
      <c r="F6" s="141">
        <v>0</v>
      </c>
      <c r="G6" s="142">
        <v>409000</v>
      </c>
      <c r="H6" s="143">
        <v>1.35E-2</v>
      </c>
      <c r="I6" s="144">
        <v>44656</v>
      </c>
      <c r="J6" s="145"/>
      <c r="K6" s="140">
        <v>0</v>
      </c>
      <c r="L6" s="100">
        <v>0</v>
      </c>
      <c r="M6" s="140">
        <v>0</v>
      </c>
      <c r="N6" s="142">
        <v>0</v>
      </c>
      <c r="O6" s="140">
        <v>24322.139999999996</v>
      </c>
      <c r="P6" s="100">
        <v>388727.93164152734</v>
      </c>
      <c r="Q6" s="140">
        <v>32429.519999999993</v>
      </c>
      <c r="R6" s="100">
        <v>361377.41969417199</v>
      </c>
      <c r="S6" s="140">
        <v>32429.519999999993</v>
      </c>
      <c r="T6" s="100">
        <v>333655.38262401678</v>
      </c>
      <c r="U6" s="140">
        <v>32429.519999999993</v>
      </c>
      <c r="V6" s="100">
        <v>305556.77369127376</v>
      </c>
      <c r="W6" s="140">
        <v>32429.519999999993</v>
      </c>
      <c r="X6" s="100">
        <v>277076.47760202223</v>
      </c>
      <c r="Y6" s="140">
        <v>32429.519999999993</v>
      </c>
      <c r="Z6" s="100">
        <v>248209.30957698025</v>
      </c>
      <c r="AA6" s="140">
        <v>32429.519999999993</v>
      </c>
      <c r="AB6" s="100">
        <v>218950.01440762632</v>
      </c>
      <c r="AC6" s="140">
        <v>32429.519999999993</v>
      </c>
      <c r="AD6" s="100">
        <v>189293.2654994996</v>
      </c>
      <c r="AE6" s="140">
        <v>32429.519999999993</v>
      </c>
      <c r="AF6" s="100">
        <v>159234</v>
      </c>
      <c r="AG6" s="140">
        <v>32429.519999999993</v>
      </c>
      <c r="AH6" s="100">
        <v>128766</v>
      </c>
      <c r="AI6" s="140">
        <v>32429.519999999993</v>
      </c>
      <c r="AJ6" s="100">
        <v>97884</v>
      </c>
      <c r="AK6" s="140">
        <v>32429.519999999993</v>
      </c>
      <c r="AL6" s="100">
        <v>66583</v>
      </c>
      <c r="AM6" s="140">
        <v>32429.519999999993</v>
      </c>
      <c r="AN6" s="100">
        <v>34856</v>
      </c>
      <c r="AO6" s="140">
        <v>2698</v>
      </c>
      <c r="AP6" s="100">
        <v>0</v>
      </c>
      <c r="AQ6" s="140">
        <v>0</v>
      </c>
      <c r="AR6" s="100">
        <v>0</v>
      </c>
      <c r="AS6" s="140">
        <v>0</v>
      </c>
      <c r="AT6" s="100">
        <v>0</v>
      </c>
      <c r="AU6" s="140">
        <v>0</v>
      </c>
      <c r="AV6" s="100">
        <v>0</v>
      </c>
      <c r="AW6" s="140">
        <v>0</v>
      </c>
      <c r="AX6" s="100">
        <v>0</v>
      </c>
      <c r="AY6" s="140">
        <v>0</v>
      </c>
      <c r="AZ6" s="100">
        <v>0</v>
      </c>
      <c r="BA6" s="140">
        <v>0</v>
      </c>
      <c r="BB6" s="100">
        <v>0</v>
      </c>
      <c r="BC6" s="140">
        <v>0</v>
      </c>
      <c r="BD6" s="100">
        <v>0</v>
      </c>
      <c r="BE6" s="140">
        <v>0</v>
      </c>
      <c r="BF6" s="100">
        <v>0</v>
      </c>
      <c r="BH6" s="163">
        <f t="shared" ref="BH6:BH24" si="10">(V6-X6)-U6</f>
        <v>-3949.2239107484675</v>
      </c>
    </row>
    <row r="7" spans="2:60" x14ac:dyDescent="0.25">
      <c r="B7" s="140" t="s">
        <v>251</v>
      </c>
      <c r="C7" s="141" t="s">
        <v>252</v>
      </c>
      <c r="D7" s="142" t="s">
        <v>145</v>
      </c>
      <c r="E7" s="142"/>
      <c r="F7" s="141" t="s">
        <v>253</v>
      </c>
      <c r="G7" s="142">
        <v>1515000</v>
      </c>
      <c r="H7" s="143">
        <v>1.35E-2</v>
      </c>
      <c r="I7" s="144">
        <v>44814</v>
      </c>
      <c r="J7" s="145"/>
      <c r="K7" s="140">
        <v>0</v>
      </c>
      <c r="L7" s="100">
        <v>0</v>
      </c>
      <c r="M7" s="140">
        <v>0</v>
      </c>
      <c r="N7" s="142">
        <v>0</v>
      </c>
      <c r="O7" s="140">
        <v>40041.279999999999</v>
      </c>
      <c r="P7" s="100">
        <v>1481720.1128105773</v>
      </c>
      <c r="Q7" s="140">
        <v>120123.84000000003</v>
      </c>
      <c r="R7" s="100">
        <v>1380977.6690044939</v>
      </c>
      <c r="S7" s="140">
        <v>120123.84000000003</v>
      </c>
      <c r="T7" s="100">
        <v>1278866.7554279631</v>
      </c>
      <c r="U7" s="140">
        <v>120123.84000000003</v>
      </c>
      <c r="V7" s="100">
        <v>1175368.7829993453</v>
      </c>
      <c r="W7" s="140">
        <v>120123.84000000003</v>
      </c>
      <c r="X7" s="100">
        <v>1070464.9101257892</v>
      </c>
      <c r="Y7" s="140">
        <v>120123.84000000003</v>
      </c>
      <c r="Z7" s="100">
        <v>964136.03927316284</v>
      </c>
      <c r="AA7" s="140">
        <v>120123.84000000003</v>
      </c>
      <c r="AB7" s="100">
        <v>856362.81348938483</v>
      </c>
      <c r="AC7" s="140">
        <v>120123.84000000003</v>
      </c>
      <c r="AD7" s="100">
        <v>747125.61288053193</v>
      </c>
      <c r="AE7" s="140">
        <v>120123.84000000003</v>
      </c>
      <c r="AF7" s="100">
        <v>636405</v>
      </c>
      <c r="AG7" s="140">
        <v>120123.84000000003</v>
      </c>
      <c r="AH7" s="100">
        <v>524179</v>
      </c>
      <c r="AI7" s="140">
        <v>120123.84000000003</v>
      </c>
      <c r="AJ7" s="100">
        <v>410430</v>
      </c>
      <c r="AK7" s="140">
        <v>120123.84000000003</v>
      </c>
      <c r="AL7" s="100">
        <v>295135</v>
      </c>
      <c r="AM7" s="140">
        <v>120123.84000000003</v>
      </c>
      <c r="AN7" s="100">
        <v>178274</v>
      </c>
      <c r="AO7" s="140">
        <f>AM7</f>
        <v>120123.84000000003</v>
      </c>
      <c r="AP7" s="100">
        <v>59826</v>
      </c>
      <c r="AQ7" s="140">
        <v>59826</v>
      </c>
      <c r="AR7" s="100">
        <v>0</v>
      </c>
      <c r="AS7" s="140">
        <v>0</v>
      </c>
      <c r="AT7" s="100">
        <v>0</v>
      </c>
      <c r="AU7" s="140">
        <v>0</v>
      </c>
      <c r="AV7" s="100">
        <v>0</v>
      </c>
      <c r="AW7" s="140">
        <v>0</v>
      </c>
      <c r="AX7" s="100">
        <v>0</v>
      </c>
      <c r="AY7" s="140">
        <v>0</v>
      </c>
      <c r="AZ7" s="100">
        <v>0</v>
      </c>
      <c r="BA7" s="140">
        <v>0</v>
      </c>
      <c r="BB7" s="100">
        <v>0</v>
      </c>
      <c r="BC7" s="140">
        <v>0</v>
      </c>
      <c r="BD7" s="100">
        <v>0</v>
      </c>
      <c r="BE7" s="140">
        <v>0</v>
      </c>
      <c r="BF7" s="100">
        <v>0</v>
      </c>
      <c r="BH7" s="163">
        <f t="shared" si="10"/>
        <v>-15219.967126443924</v>
      </c>
    </row>
    <row r="8" spans="2:60" x14ac:dyDescent="0.25">
      <c r="B8" s="140" t="s">
        <v>254</v>
      </c>
      <c r="C8" s="141" t="s">
        <v>252</v>
      </c>
      <c r="D8" s="142" t="s">
        <v>151</v>
      </c>
      <c r="E8" s="142"/>
      <c r="F8" s="141">
        <v>225003100788</v>
      </c>
      <c r="G8" s="142">
        <v>350000</v>
      </c>
      <c r="H8" s="143">
        <v>3.5299999999999998E-2</v>
      </c>
      <c r="I8" s="144">
        <v>45701</v>
      </c>
      <c r="J8" s="145"/>
      <c r="K8" s="140">
        <v>0</v>
      </c>
      <c r="L8" s="100">
        <v>0</v>
      </c>
      <c r="M8" s="140">
        <v>0</v>
      </c>
      <c r="N8" s="142">
        <v>0</v>
      </c>
      <c r="O8" s="140">
        <v>0</v>
      </c>
      <c r="P8" s="100">
        <v>0</v>
      </c>
      <c r="Q8" s="140">
        <v>0</v>
      </c>
      <c r="R8" s="100">
        <v>0</v>
      </c>
      <c r="S8" s="140">
        <v>0</v>
      </c>
      <c r="T8" s="100">
        <v>0</v>
      </c>
      <c r="U8" s="140">
        <v>51796.029999999984</v>
      </c>
      <c r="V8" s="100">
        <v>308928.84723423043</v>
      </c>
      <c r="W8" s="140">
        <v>56504.75999999998</v>
      </c>
      <c r="X8" s="100">
        <v>262584.23018713825</v>
      </c>
      <c r="Y8" s="140">
        <v>56504.75999999998</v>
      </c>
      <c r="Z8" s="100">
        <v>214576.91834340864</v>
      </c>
      <c r="AA8" s="140">
        <v>56504.75999999998</v>
      </c>
      <c r="AB8" s="100">
        <v>164847.25959751342</v>
      </c>
      <c r="AC8" s="140">
        <v>56504.75999999998</v>
      </c>
      <c r="AD8" s="100">
        <v>113333.46171953013</v>
      </c>
      <c r="AE8" s="140">
        <v>56504.75999999998</v>
      </c>
      <c r="AF8" s="100">
        <v>59972</v>
      </c>
      <c r="AG8" s="140">
        <v>56504.75999999998</v>
      </c>
      <c r="AH8" s="100">
        <v>4965</v>
      </c>
      <c r="AI8" s="140">
        <v>4965</v>
      </c>
      <c r="AJ8" s="100">
        <v>0</v>
      </c>
      <c r="AK8" s="140">
        <v>0</v>
      </c>
      <c r="AL8" s="100"/>
      <c r="AM8" s="140">
        <v>0</v>
      </c>
      <c r="AN8" s="100"/>
      <c r="AO8" s="140">
        <v>0</v>
      </c>
      <c r="AP8" s="100"/>
      <c r="AQ8" s="140">
        <v>0</v>
      </c>
      <c r="AR8" s="100"/>
      <c r="AS8" s="140">
        <v>0</v>
      </c>
      <c r="AT8" s="100"/>
      <c r="AU8" s="140">
        <v>0</v>
      </c>
      <c r="AV8" s="100"/>
      <c r="AW8" s="140">
        <v>0</v>
      </c>
      <c r="AX8" s="100"/>
      <c r="AY8" s="140">
        <v>0</v>
      </c>
      <c r="AZ8" s="100"/>
      <c r="BA8" s="140">
        <v>0</v>
      </c>
      <c r="BB8" s="100"/>
      <c r="BC8" s="140">
        <v>0</v>
      </c>
      <c r="BD8" s="100"/>
      <c r="BE8" s="140">
        <v>0</v>
      </c>
      <c r="BF8" s="100"/>
      <c r="BH8" s="163">
        <f t="shared" si="10"/>
        <v>-5451.4129529078054</v>
      </c>
    </row>
    <row r="9" spans="2:60" x14ac:dyDescent="0.25">
      <c r="B9" s="140" t="s">
        <v>255</v>
      </c>
      <c r="C9" s="146" t="s">
        <v>256</v>
      </c>
      <c r="D9" s="142" t="s">
        <v>147</v>
      </c>
      <c r="E9" s="142"/>
      <c r="F9" s="141">
        <v>0</v>
      </c>
      <c r="G9" s="142">
        <v>239977.57</v>
      </c>
      <c r="H9" s="143">
        <v>0.01</v>
      </c>
      <c r="I9" s="144">
        <v>43118</v>
      </c>
      <c r="J9" s="145"/>
      <c r="K9" s="140">
        <v>16504.968224999997</v>
      </c>
      <c r="L9" s="100">
        <v>161724.06999999966</v>
      </c>
      <c r="M9" s="140">
        <v>32775.17594999999</v>
      </c>
      <c r="N9" s="142">
        <v>130422.66999999953</v>
      </c>
      <c r="O9" s="140">
        <v>32462.161949999994</v>
      </c>
      <c r="P9" s="100">
        <v>99121.269999999568</v>
      </c>
      <c r="Q9" s="140">
        <v>32149.147949999995</v>
      </c>
      <c r="R9" s="147">
        <v>67819.869999999602</v>
      </c>
      <c r="S9" s="140">
        <v>31836.133949999996</v>
      </c>
      <c r="T9" s="100">
        <v>36518.469999999637</v>
      </c>
      <c r="U9" s="140">
        <v>31523.119949999997</v>
      </c>
      <c r="V9" s="100">
        <v>5217.0699999996341</v>
      </c>
      <c r="W9" s="140">
        <v>5221.417558332967</v>
      </c>
      <c r="X9" s="100">
        <v>0</v>
      </c>
      <c r="Y9" s="140">
        <v>0</v>
      </c>
      <c r="Z9" s="100">
        <v>0</v>
      </c>
      <c r="AA9" s="140">
        <v>0</v>
      </c>
      <c r="AB9" s="100">
        <v>0</v>
      </c>
      <c r="AC9" s="140">
        <v>0</v>
      </c>
      <c r="AD9" s="100">
        <v>0</v>
      </c>
      <c r="AE9" s="140">
        <v>0</v>
      </c>
      <c r="AF9" s="100"/>
      <c r="AG9" s="140">
        <v>0</v>
      </c>
      <c r="AH9" s="100"/>
      <c r="AI9" s="140">
        <v>0</v>
      </c>
      <c r="AJ9" s="100"/>
      <c r="AK9" s="140">
        <v>0</v>
      </c>
      <c r="AL9" s="100"/>
      <c r="AM9" s="140">
        <v>0</v>
      </c>
      <c r="AN9" s="100"/>
      <c r="AO9" s="140">
        <v>0</v>
      </c>
      <c r="AP9" s="100"/>
      <c r="AQ9" s="140">
        <v>0</v>
      </c>
      <c r="AR9" s="100"/>
      <c r="AS9" s="140">
        <v>0</v>
      </c>
      <c r="AT9" s="100"/>
      <c r="AU9" s="140">
        <v>0</v>
      </c>
      <c r="AV9" s="100"/>
      <c r="AW9" s="140">
        <v>0</v>
      </c>
      <c r="AX9" s="100"/>
      <c r="AY9" s="140">
        <v>0</v>
      </c>
      <c r="AZ9" s="100"/>
      <c r="BA9" s="140">
        <v>0</v>
      </c>
      <c r="BB9" s="100"/>
      <c r="BC9" s="140">
        <v>0</v>
      </c>
      <c r="BD9" s="100"/>
      <c r="BE9" s="140">
        <v>0</v>
      </c>
      <c r="BF9" s="100"/>
      <c r="BH9" s="163">
        <f t="shared" si="10"/>
        <v>-26306.049950000364</v>
      </c>
    </row>
    <row r="10" spans="2:60" x14ac:dyDescent="0.25">
      <c r="B10" s="140" t="s">
        <v>257</v>
      </c>
      <c r="C10" s="141" t="s">
        <v>258</v>
      </c>
      <c r="D10" s="142" t="s">
        <v>147</v>
      </c>
      <c r="E10" s="142"/>
      <c r="F10" s="141">
        <v>0</v>
      </c>
      <c r="G10" s="142">
        <v>1600000</v>
      </c>
      <c r="H10" s="143">
        <v>1.4999999999999999E-2</v>
      </c>
      <c r="I10" s="144">
        <v>43101</v>
      </c>
      <c r="J10" s="145"/>
      <c r="K10" s="140">
        <v>119182.65991630674</v>
      </c>
      <c r="L10" s="100">
        <v>1308116.2481626358</v>
      </c>
      <c r="M10" s="140">
        <v>119182.65991630674</v>
      </c>
      <c r="N10" s="142">
        <v>1207867.9906271927</v>
      </c>
      <c r="O10" s="140">
        <v>119182.65991630674</v>
      </c>
      <c r="P10" s="100">
        <v>1106105.6279303443</v>
      </c>
      <c r="Q10" s="140">
        <v>119182.65991630674</v>
      </c>
      <c r="R10" s="100">
        <v>1002806.2917001488</v>
      </c>
      <c r="S10" s="140">
        <v>1012529.8507550148</v>
      </c>
      <c r="T10" s="100">
        <v>0</v>
      </c>
      <c r="U10" s="140">
        <v>0</v>
      </c>
      <c r="V10" s="100">
        <v>0</v>
      </c>
      <c r="W10" s="140">
        <v>0</v>
      </c>
      <c r="X10" s="100">
        <v>0</v>
      </c>
      <c r="Y10" s="140">
        <v>0</v>
      </c>
      <c r="Z10" s="100">
        <v>0</v>
      </c>
      <c r="AA10" s="140">
        <v>0</v>
      </c>
      <c r="AB10" s="100">
        <v>0</v>
      </c>
      <c r="AC10" s="140">
        <v>0</v>
      </c>
      <c r="AD10" s="100">
        <v>0</v>
      </c>
      <c r="AE10" s="140">
        <v>0</v>
      </c>
      <c r="AF10" s="100"/>
      <c r="AG10" s="140">
        <v>0</v>
      </c>
      <c r="AH10" s="100"/>
      <c r="AI10" s="140">
        <v>0</v>
      </c>
      <c r="AJ10" s="100"/>
      <c r="AK10" s="140">
        <v>0</v>
      </c>
      <c r="AL10" s="100"/>
      <c r="AM10" s="140">
        <v>0</v>
      </c>
      <c r="AN10" s="100"/>
      <c r="AO10" s="140">
        <v>0</v>
      </c>
      <c r="AP10" s="100"/>
      <c r="AQ10" s="140">
        <v>0</v>
      </c>
      <c r="AR10" s="100"/>
      <c r="AS10" s="140">
        <v>0</v>
      </c>
      <c r="AT10" s="100"/>
      <c r="AU10" s="140">
        <v>0</v>
      </c>
      <c r="AV10" s="100"/>
      <c r="AW10" s="140">
        <v>0</v>
      </c>
      <c r="AX10" s="100"/>
      <c r="AY10" s="140">
        <v>0</v>
      </c>
      <c r="AZ10" s="100"/>
      <c r="BA10" s="140">
        <v>0</v>
      </c>
      <c r="BB10" s="100"/>
      <c r="BC10" s="140">
        <v>0</v>
      </c>
      <c r="BD10" s="100"/>
      <c r="BE10" s="140">
        <v>0</v>
      </c>
      <c r="BF10" s="100"/>
      <c r="BH10" s="163">
        <f t="shared" si="10"/>
        <v>0</v>
      </c>
    </row>
    <row r="11" spans="2:60" x14ac:dyDescent="0.25">
      <c r="B11" s="140" t="s">
        <v>259</v>
      </c>
      <c r="C11" s="146" t="s">
        <v>260</v>
      </c>
      <c r="D11" s="142" t="s">
        <v>145</v>
      </c>
      <c r="E11" s="142"/>
      <c r="F11" s="141">
        <v>0</v>
      </c>
      <c r="G11" s="142">
        <v>1350000</v>
      </c>
      <c r="H11" s="143">
        <v>2.0799999999999999E-2</v>
      </c>
      <c r="I11" s="144">
        <v>42883</v>
      </c>
      <c r="J11" s="145"/>
      <c r="K11" s="140">
        <v>52744.22</v>
      </c>
      <c r="L11" s="100">
        <v>1004352.8842710456</v>
      </c>
      <c r="M11" s="140">
        <v>105809.51999999996</v>
      </c>
      <c r="N11" s="142">
        <v>918619.64756512316</v>
      </c>
      <c r="O11" s="140">
        <v>105809.51999999996</v>
      </c>
      <c r="P11" s="100">
        <v>831086.06059817027</v>
      </c>
      <c r="Q11" s="140">
        <v>105809.51999999996</v>
      </c>
      <c r="R11" s="147">
        <v>741714.31701658457</v>
      </c>
      <c r="S11" s="140">
        <v>105809.51999999996</v>
      </c>
      <c r="T11" s="100">
        <v>650465.81655437662</v>
      </c>
      <c r="U11" s="140">
        <v>655361.05000000005</v>
      </c>
      <c r="V11" s="100">
        <v>0</v>
      </c>
      <c r="W11" s="140">
        <v>0</v>
      </c>
      <c r="X11" s="100">
        <v>0</v>
      </c>
      <c r="Y11" s="140">
        <v>0</v>
      </c>
      <c r="Z11" s="100">
        <v>0</v>
      </c>
      <c r="AA11" s="140">
        <v>0</v>
      </c>
      <c r="AB11" s="100">
        <v>0</v>
      </c>
      <c r="AC11" s="140">
        <v>0</v>
      </c>
      <c r="AD11" s="100">
        <v>0</v>
      </c>
      <c r="AE11" s="140">
        <v>0</v>
      </c>
      <c r="AF11" s="100"/>
      <c r="AG11" s="140">
        <v>0</v>
      </c>
      <c r="AH11" s="100"/>
      <c r="AI11" s="140">
        <v>0</v>
      </c>
      <c r="AJ11" s="100"/>
      <c r="AK11" s="140">
        <v>0</v>
      </c>
      <c r="AL11" s="100"/>
      <c r="AM11" s="140">
        <v>0</v>
      </c>
      <c r="AN11" s="100"/>
      <c r="AO11" s="140">
        <v>0</v>
      </c>
      <c r="AP11" s="100"/>
      <c r="AQ11" s="140">
        <v>0</v>
      </c>
      <c r="AR11" s="100"/>
      <c r="AS11" s="140">
        <v>0</v>
      </c>
      <c r="AT11" s="100"/>
      <c r="AU11" s="140">
        <v>0</v>
      </c>
      <c r="AV11" s="100"/>
      <c r="AW11" s="140">
        <v>0</v>
      </c>
      <c r="AX11" s="100"/>
      <c r="AY11" s="140">
        <v>0</v>
      </c>
      <c r="AZ11" s="100"/>
      <c r="BA11" s="140">
        <v>0</v>
      </c>
      <c r="BB11" s="100"/>
      <c r="BC11" s="140">
        <v>0</v>
      </c>
      <c r="BD11" s="100"/>
      <c r="BE11" s="140">
        <v>0</v>
      </c>
      <c r="BF11" s="100"/>
      <c r="BH11" s="163">
        <f t="shared" si="10"/>
        <v>-655361.05000000005</v>
      </c>
    </row>
    <row r="12" spans="2:60" x14ac:dyDescent="0.25">
      <c r="B12" s="140" t="s">
        <v>261</v>
      </c>
      <c r="C12" s="146" t="s">
        <v>256</v>
      </c>
      <c r="D12" s="142" t="s">
        <v>151</v>
      </c>
      <c r="E12" s="142"/>
      <c r="F12" s="141">
        <v>0</v>
      </c>
      <c r="G12" s="142">
        <v>780000</v>
      </c>
      <c r="H12" s="143">
        <v>1.89E-2</v>
      </c>
      <c r="I12" s="144">
        <v>43315</v>
      </c>
      <c r="J12" s="145"/>
      <c r="K12" s="140">
        <v>59759.480480285485</v>
      </c>
      <c r="L12" s="100">
        <v>668774.53167254187</v>
      </c>
      <c r="M12" s="140">
        <v>59759.480480285485</v>
      </c>
      <c r="N12" s="142">
        <v>621244.56541741965</v>
      </c>
      <c r="O12" s="140">
        <v>59759.480480285485</v>
      </c>
      <c r="P12" s="100">
        <v>572808.46013570309</v>
      </c>
      <c r="Q12" s="140">
        <v>59759.480480285485</v>
      </c>
      <c r="R12" s="147">
        <v>523448.94066394866</v>
      </c>
      <c r="S12" s="140">
        <v>59759.480480285485</v>
      </c>
      <c r="T12" s="100">
        <v>473148.4024949114</v>
      </c>
      <c r="U12" s="140">
        <v>59759.480480285485</v>
      </c>
      <c r="V12" s="100">
        <v>421888.90549874143</v>
      </c>
      <c r="W12" s="140">
        <v>59759.480480285485</v>
      </c>
      <c r="X12" s="100">
        <v>369652.16752447974</v>
      </c>
      <c r="Y12" s="140">
        <v>59759.480480285485</v>
      </c>
      <c r="Z12" s="100">
        <v>316419.55787956738</v>
      </c>
      <c r="AA12" s="140">
        <v>59759.480480285485</v>
      </c>
      <c r="AB12" s="100">
        <v>262172.09068504494</v>
      </c>
      <c r="AC12" s="140">
        <v>59759.480480285485</v>
      </c>
      <c r="AD12" s="100">
        <v>206890.41810407222</v>
      </c>
      <c r="AE12" s="140">
        <v>59759.480480285485</v>
      </c>
      <c r="AF12" s="100">
        <v>150155</v>
      </c>
      <c r="AG12" s="140">
        <v>59759.480480285485</v>
      </c>
      <c r="AH12" s="100">
        <v>93145</v>
      </c>
      <c r="AI12" s="140">
        <v>59759.480480285485</v>
      </c>
      <c r="AJ12" s="100">
        <v>34641</v>
      </c>
      <c r="AK12" s="140">
        <v>34641</v>
      </c>
      <c r="AL12" s="100">
        <v>0</v>
      </c>
      <c r="AM12" s="140"/>
      <c r="AN12" s="100"/>
      <c r="AO12" s="140"/>
      <c r="AP12" s="100"/>
      <c r="AQ12" s="140"/>
      <c r="AR12" s="100"/>
      <c r="AS12" s="140"/>
      <c r="AT12" s="100"/>
      <c r="AU12" s="140"/>
      <c r="AV12" s="100"/>
      <c r="AW12" s="140"/>
      <c r="AX12" s="100"/>
      <c r="AY12" s="140"/>
      <c r="AZ12" s="100"/>
      <c r="BA12" s="140"/>
      <c r="BB12" s="100"/>
      <c r="BC12" s="140"/>
      <c r="BD12" s="100"/>
      <c r="BE12" s="140"/>
      <c r="BF12" s="100"/>
      <c r="BH12" s="163">
        <f t="shared" si="10"/>
        <v>-7522.7425060237947</v>
      </c>
    </row>
    <row r="13" spans="2:60" x14ac:dyDescent="0.25">
      <c r="B13" s="148" t="s">
        <v>262</v>
      </c>
      <c r="C13" s="141" t="s">
        <v>263</v>
      </c>
      <c r="D13" s="142" t="s">
        <v>148</v>
      </c>
      <c r="E13" s="142"/>
      <c r="F13" s="141">
        <v>0</v>
      </c>
      <c r="G13" s="142">
        <v>665000</v>
      </c>
      <c r="H13" s="143">
        <v>1.4E-2</v>
      </c>
      <c r="I13" s="144">
        <v>45021</v>
      </c>
      <c r="J13" s="145"/>
      <c r="K13" s="140">
        <v>0</v>
      </c>
      <c r="L13" s="100">
        <v>0</v>
      </c>
      <c r="M13" s="140">
        <v>0</v>
      </c>
      <c r="N13" s="142">
        <v>0</v>
      </c>
      <c r="O13" s="140">
        <v>0</v>
      </c>
      <c r="P13" s="100">
        <v>0</v>
      </c>
      <c r="Q13" s="140">
        <v>36706.579999999994</v>
      </c>
      <c r="R13" s="100">
        <v>634929.08921382995</v>
      </c>
      <c r="S13" s="140">
        <v>49252.44000000001</v>
      </c>
      <c r="T13" s="100">
        <v>594305.64790330979</v>
      </c>
      <c r="U13" s="140">
        <v>49252.44000000001</v>
      </c>
      <c r="V13" s="100">
        <v>553109.81484609994</v>
      </c>
      <c r="W13" s="140">
        <v>49252.44000000001</v>
      </c>
      <c r="X13" s="100">
        <v>511333.5249373964</v>
      </c>
      <c r="Y13" s="140">
        <v>49252.44000000001</v>
      </c>
      <c r="Z13" s="100">
        <v>468968.59943358751</v>
      </c>
      <c r="AA13" s="140">
        <v>49252.44000000001</v>
      </c>
      <c r="AB13" s="100">
        <v>426006.74435106228</v>
      </c>
      <c r="AC13" s="140">
        <v>49252.44000000001</v>
      </c>
      <c r="AD13" s="100">
        <v>382439.54884245817</v>
      </c>
      <c r="AE13" s="140">
        <v>49252.44000000001</v>
      </c>
      <c r="AF13" s="100">
        <v>338258</v>
      </c>
      <c r="AG13" s="140">
        <v>49252.44000000001</v>
      </c>
      <c r="AH13" s="100">
        <v>293455</v>
      </c>
      <c r="AI13" s="140">
        <v>49252.44000000001</v>
      </c>
      <c r="AJ13" s="100">
        <v>248020</v>
      </c>
      <c r="AK13" s="140">
        <v>49252.44000000001</v>
      </c>
      <c r="AL13" s="100">
        <v>201945</v>
      </c>
      <c r="AM13" s="140">
        <v>49252.44000000001</v>
      </c>
      <c r="AN13" s="100">
        <v>155221</v>
      </c>
      <c r="AO13" s="140">
        <v>49252.44000000001</v>
      </c>
      <c r="AP13" s="100">
        <v>107838</v>
      </c>
      <c r="AQ13" s="140">
        <v>49252.44000000001</v>
      </c>
      <c r="AR13" s="100">
        <v>59788</v>
      </c>
      <c r="AS13" s="140">
        <v>49252.44000000001</v>
      </c>
      <c r="AT13" s="100">
        <v>11061</v>
      </c>
      <c r="AU13" s="140">
        <v>11061</v>
      </c>
      <c r="AV13" s="100">
        <v>0</v>
      </c>
      <c r="AW13" s="140"/>
      <c r="AX13" s="100"/>
      <c r="AY13" s="140"/>
      <c r="AZ13" s="100"/>
      <c r="BA13" s="140"/>
      <c r="BB13" s="100"/>
      <c r="BC13" s="140"/>
      <c r="BD13" s="100">
        <v>0</v>
      </c>
      <c r="BE13" s="140"/>
      <c r="BF13" s="100">
        <v>0</v>
      </c>
      <c r="BH13" s="163">
        <f t="shared" si="10"/>
        <v>-7476.1500912964766</v>
      </c>
    </row>
    <row r="14" spans="2:60" x14ac:dyDescent="0.25">
      <c r="B14" s="148" t="s">
        <v>264</v>
      </c>
      <c r="C14" s="141" t="s">
        <v>263</v>
      </c>
      <c r="D14" s="142" t="s">
        <v>150</v>
      </c>
      <c r="E14" s="142"/>
      <c r="F14" s="141">
        <v>0</v>
      </c>
      <c r="G14" s="142">
        <v>377612</v>
      </c>
      <c r="H14" s="143">
        <v>1.7999999999999999E-2</v>
      </c>
      <c r="I14" s="144">
        <v>44964</v>
      </c>
      <c r="J14" s="145"/>
      <c r="K14" s="140">
        <v>0</v>
      </c>
      <c r="L14" s="100">
        <v>0</v>
      </c>
      <c r="M14" s="140">
        <v>0</v>
      </c>
      <c r="N14" s="142">
        <v>0</v>
      </c>
      <c r="O14" s="140">
        <v>0</v>
      </c>
      <c r="P14" s="100">
        <v>0</v>
      </c>
      <c r="Q14" s="140">
        <v>27140.52</v>
      </c>
      <c r="R14" s="100">
        <v>356544.54575355031</v>
      </c>
      <c r="S14" s="140">
        <v>29607.84</v>
      </c>
      <c r="T14" s="100">
        <v>333162.22993683373</v>
      </c>
      <c r="U14" s="140">
        <v>29607.84</v>
      </c>
      <c r="V14" s="100">
        <v>309355.54274141247</v>
      </c>
      <c r="W14" s="140">
        <v>29607.84</v>
      </c>
      <c r="X14" s="100">
        <v>285116.7821471584</v>
      </c>
      <c r="Y14" s="140">
        <v>29607.84</v>
      </c>
      <c r="Z14" s="100">
        <v>260438.10634809287</v>
      </c>
      <c r="AA14" s="140">
        <v>29607.84</v>
      </c>
      <c r="AB14" s="100">
        <v>235311.53121537936</v>
      </c>
      <c r="AC14" s="140">
        <v>29607.84</v>
      </c>
      <c r="AD14" s="100">
        <v>209728.9277142708</v>
      </c>
      <c r="AE14" s="140">
        <v>29607.84</v>
      </c>
      <c r="AF14" s="100">
        <v>183682</v>
      </c>
      <c r="AG14" s="140">
        <v>29607.84</v>
      </c>
      <c r="AH14" s="100">
        <v>157162</v>
      </c>
      <c r="AI14" s="140">
        <v>29607.84</v>
      </c>
      <c r="AJ14" s="100">
        <v>130161</v>
      </c>
      <c r="AK14" s="140">
        <v>29607.84</v>
      </c>
      <c r="AL14" s="100">
        <v>102670</v>
      </c>
      <c r="AM14" s="140">
        <v>29607.84</v>
      </c>
      <c r="AN14" s="100">
        <v>74680</v>
      </c>
      <c r="AO14" s="140">
        <v>29607.84</v>
      </c>
      <c r="AP14" s="100">
        <v>46183</v>
      </c>
      <c r="AQ14" s="140">
        <v>29607.84</v>
      </c>
      <c r="AR14" s="100">
        <v>17167</v>
      </c>
      <c r="AS14" s="140">
        <v>17167</v>
      </c>
      <c r="AT14" s="100"/>
      <c r="AU14" s="140">
        <v>0</v>
      </c>
      <c r="AV14" s="100"/>
      <c r="AW14" s="140">
        <v>0</v>
      </c>
      <c r="AX14" s="100"/>
      <c r="AY14" s="140">
        <v>0</v>
      </c>
      <c r="AZ14" s="100"/>
      <c r="BA14" s="140">
        <v>0</v>
      </c>
      <c r="BB14" s="100"/>
      <c r="BC14" s="140">
        <v>0</v>
      </c>
      <c r="BD14" s="100"/>
      <c r="BE14" s="140">
        <v>0</v>
      </c>
      <c r="BF14" s="100"/>
      <c r="BH14" s="163">
        <f t="shared" si="10"/>
        <v>-5369.0794057459316</v>
      </c>
    </row>
    <row r="15" spans="2:60" x14ac:dyDescent="0.25">
      <c r="B15" s="148" t="s">
        <v>265</v>
      </c>
      <c r="C15" s="141" t="s">
        <v>266</v>
      </c>
      <c r="D15" s="142" t="s">
        <v>150</v>
      </c>
      <c r="E15" s="142"/>
      <c r="F15" s="141">
        <v>23925728</v>
      </c>
      <c r="G15" s="142">
        <v>734000</v>
      </c>
      <c r="H15" s="143">
        <v>4.5999999999999999E-2</v>
      </c>
      <c r="I15" s="144">
        <v>45227</v>
      </c>
      <c r="J15" s="145"/>
      <c r="K15" s="140">
        <v>0</v>
      </c>
      <c r="L15" s="100">
        <v>0</v>
      </c>
      <c r="M15" s="140">
        <v>0</v>
      </c>
      <c r="N15" s="142">
        <v>0</v>
      </c>
      <c r="O15" s="140">
        <v>0</v>
      </c>
      <c r="P15" s="100">
        <v>0</v>
      </c>
      <c r="Q15" s="140">
        <v>8441</v>
      </c>
      <c r="R15" s="100">
        <v>734000</v>
      </c>
      <c r="S15" s="140">
        <v>43173.229999999996</v>
      </c>
      <c r="T15" s="100">
        <v>724590.77</v>
      </c>
      <c r="U15" s="140">
        <v>71400.92</v>
      </c>
      <c r="V15" s="100">
        <v>685859.27312744362</v>
      </c>
      <c r="W15" s="140">
        <v>71400.92</v>
      </c>
      <c r="X15" s="100">
        <v>645315.15765550383</v>
      </c>
      <c r="Y15" s="140">
        <v>71400.92</v>
      </c>
      <c r="Z15" s="100">
        <v>602873.59375698224</v>
      </c>
      <c r="AA15" s="140">
        <v>71400.92</v>
      </c>
      <c r="AB15" s="100">
        <v>558445.78160261549</v>
      </c>
      <c r="AC15" s="140">
        <v>71400.92</v>
      </c>
      <c r="AD15" s="100">
        <v>511938.76556656288</v>
      </c>
      <c r="AE15" s="140">
        <v>71400.92</v>
      </c>
      <c r="AF15" s="100">
        <v>463255</v>
      </c>
      <c r="AG15" s="140">
        <v>71400.92</v>
      </c>
      <c r="AH15" s="100">
        <v>412293</v>
      </c>
      <c r="AI15" s="140">
        <v>71400.92</v>
      </c>
      <c r="AJ15" s="100">
        <v>358946</v>
      </c>
      <c r="AK15" s="140">
        <v>71400.92</v>
      </c>
      <c r="AL15" s="100">
        <v>303103</v>
      </c>
      <c r="AM15" s="140">
        <v>71400.92</v>
      </c>
      <c r="AN15" s="100">
        <v>244646</v>
      </c>
      <c r="AO15" s="140">
        <v>71400.92</v>
      </c>
      <c r="AP15" s="100">
        <v>183453</v>
      </c>
      <c r="AQ15" s="140">
        <v>71400.92</v>
      </c>
      <c r="AR15" s="100">
        <v>119397</v>
      </c>
      <c r="AS15" s="140">
        <v>71400.92</v>
      </c>
      <c r="AT15" s="100">
        <v>52342</v>
      </c>
      <c r="AU15" s="140">
        <v>52342</v>
      </c>
      <c r="AV15" s="100"/>
      <c r="AW15" s="140"/>
      <c r="AX15" s="100"/>
      <c r="AY15" s="140"/>
      <c r="AZ15" s="100"/>
      <c r="BA15" s="140"/>
      <c r="BB15" s="100"/>
      <c r="BC15" s="140"/>
      <c r="BD15" s="100"/>
      <c r="BE15" s="140"/>
      <c r="BF15" s="100"/>
      <c r="BH15" s="163">
        <f t="shared" si="10"/>
        <v>-30856.804528060209</v>
      </c>
    </row>
    <row r="16" spans="2:60" x14ac:dyDescent="0.25">
      <c r="B16" s="148" t="s">
        <v>267</v>
      </c>
      <c r="C16" s="141" t="s">
        <v>268</v>
      </c>
      <c r="D16" s="142" t="s">
        <v>145</v>
      </c>
      <c r="E16" s="142"/>
      <c r="F16" s="141">
        <v>0</v>
      </c>
      <c r="G16" s="142">
        <v>1408923</v>
      </c>
      <c r="H16" s="143">
        <v>4.9299999999999997E-2</v>
      </c>
      <c r="I16" s="144">
        <v>45327</v>
      </c>
      <c r="J16" s="145"/>
      <c r="K16" s="140">
        <v>0</v>
      </c>
      <c r="L16" s="100">
        <v>0</v>
      </c>
      <c r="M16" s="140">
        <v>0</v>
      </c>
      <c r="N16" s="142">
        <v>0</v>
      </c>
      <c r="O16" s="140">
        <v>0</v>
      </c>
      <c r="P16" s="100">
        <v>0</v>
      </c>
      <c r="Q16" s="140">
        <v>0</v>
      </c>
      <c r="R16" s="100">
        <v>0</v>
      </c>
      <c r="S16" s="140">
        <v>60388.391949999983</v>
      </c>
      <c r="T16" s="100">
        <v>1401718.1209670436</v>
      </c>
      <c r="U16" s="140">
        <v>112600.56000000001</v>
      </c>
      <c r="V16" s="100">
        <v>1357225.8547237345</v>
      </c>
      <c r="W16" s="140">
        <v>112600.56000000001</v>
      </c>
      <c r="X16" s="100">
        <v>1310489.8714441014</v>
      </c>
      <c r="Y16" s="140">
        <v>112600.56000000001</v>
      </c>
      <c r="Z16" s="100">
        <v>1261397.0218875192</v>
      </c>
      <c r="AA16" s="140">
        <v>116055.92999999998</v>
      </c>
      <c r="AB16" s="100">
        <v>1206315.7498224692</v>
      </c>
      <c r="AC16" s="140">
        <v>117207.71999999999</v>
      </c>
      <c r="AD16" s="100">
        <v>1147256.7632431318</v>
      </c>
      <c r="AE16" s="140">
        <v>117207.71999999999</v>
      </c>
      <c r="AF16" s="100">
        <v>1085219</v>
      </c>
      <c r="AG16" s="140">
        <v>117207.71999999999</v>
      </c>
      <c r="AH16" s="100">
        <v>1020054</v>
      </c>
      <c r="AI16" s="140">
        <v>117207.71999999999</v>
      </c>
      <c r="AJ16" s="100">
        <v>951602</v>
      </c>
      <c r="AK16" s="140">
        <v>117207.71999999999</v>
      </c>
      <c r="AL16" s="100">
        <v>879698</v>
      </c>
      <c r="AM16" s="140">
        <v>117207.71999999999</v>
      </c>
      <c r="AN16" s="100">
        <v>804167</v>
      </c>
      <c r="AO16" s="140">
        <v>117207.71999999999</v>
      </c>
      <c r="AP16" s="100">
        <v>724828</v>
      </c>
      <c r="AQ16" s="140">
        <v>117207.71999999999</v>
      </c>
      <c r="AR16" s="100">
        <v>641488</v>
      </c>
      <c r="AS16" s="140">
        <v>117207.71999999999</v>
      </c>
      <c r="AT16" s="100">
        <v>553945</v>
      </c>
      <c r="AU16" s="140">
        <v>117207.71999999999</v>
      </c>
      <c r="AV16" s="100">
        <v>461988</v>
      </c>
      <c r="AW16" s="140">
        <v>117207.71999999999</v>
      </c>
      <c r="AX16" s="100">
        <v>381824</v>
      </c>
      <c r="AY16" s="140">
        <v>117207.71999999999</v>
      </c>
      <c r="AZ16" s="100">
        <v>263927</v>
      </c>
      <c r="BA16" s="140">
        <v>117207.71999999999</v>
      </c>
      <c r="BB16" s="100">
        <v>157343</v>
      </c>
      <c r="BC16" s="140">
        <v>117207.71999999999</v>
      </c>
      <c r="BD16" s="100">
        <v>45385</v>
      </c>
      <c r="BE16" s="140">
        <v>45385</v>
      </c>
      <c r="BF16" s="100"/>
      <c r="BH16" s="163">
        <f t="shared" si="10"/>
        <v>-65864.576720366909</v>
      </c>
    </row>
    <row r="17" spans="2:60" x14ac:dyDescent="0.25">
      <c r="B17" s="148" t="s">
        <v>269</v>
      </c>
      <c r="C17" s="141" t="s">
        <v>270</v>
      </c>
      <c r="D17" s="142" t="s">
        <v>145</v>
      </c>
      <c r="E17" s="142"/>
      <c r="F17" s="141">
        <v>0</v>
      </c>
      <c r="G17" s="142">
        <v>1200000</v>
      </c>
      <c r="H17" s="143">
        <v>5.0999999999999997E-2</v>
      </c>
      <c r="I17" s="144">
        <v>45163</v>
      </c>
      <c r="J17" s="145"/>
      <c r="K17" s="140">
        <v>0</v>
      </c>
      <c r="L17" s="100">
        <v>0</v>
      </c>
      <c r="M17" s="140">
        <v>0</v>
      </c>
      <c r="N17" s="142">
        <v>0</v>
      </c>
      <c r="O17" s="140">
        <v>0</v>
      </c>
      <c r="P17" s="100">
        <v>0</v>
      </c>
      <c r="Q17" s="140">
        <v>25499.999999999996</v>
      </c>
      <c r="R17" s="100">
        <v>1200000</v>
      </c>
      <c r="S17" s="140">
        <v>110173.66542565808</v>
      </c>
      <c r="T17" s="100">
        <v>1149972.2619228188</v>
      </c>
      <c r="U17" s="140">
        <v>114625.81682799064</v>
      </c>
      <c r="V17" s="100">
        <v>1092667.847572482</v>
      </c>
      <c r="W17" s="140">
        <v>114625.81682799064</v>
      </c>
      <c r="X17" s="100">
        <v>1032371.616965641</v>
      </c>
      <c r="Y17" s="140">
        <v>114625.81682799064</v>
      </c>
      <c r="Z17" s="100">
        <v>968927.36984069122</v>
      </c>
      <c r="AA17" s="140">
        <v>114625.81682799064</v>
      </c>
      <c r="AB17" s="100">
        <v>902170.75084907142</v>
      </c>
      <c r="AC17" s="140">
        <v>114625.81682799064</v>
      </c>
      <c r="AD17" s="100">
        <v>831928.82378489524</v>
      </c>
      <c r="AE17" s="140">
        <v>114625.81682799064</v>
      </c>
      <c r="AF17" s="100">
        <v>758020</v>
      </c>
      <c r="AG17" s="140">
        <v>114625.81682799064</v>
      </c>
      <c r="AH17" s="100">
        <v>680252</v>
      </c>
      <c r="AI17" s="140">
        <v>114625.81682799064</v>
      </c>
      <c r="AJ17" s="100">
        <v>598424</v>
      </c>
      <c r="AK17" s="140">
        <v>114625.81682799064</v>
      </c>
      <c r="AL17" s="100">
        <v>512323</v>
      </c>
      <c r="AM17" s="140">
        <v>114625.81682799064</v>
      </c>
      <c r="AN17" s="100">
        <v>421728</v>
      </c>
      <c r="AO17" s="140">
        <v>114625.81682799064</v>
      </c>
      <c r="AP17" s="100">
        <v>326402</v>
      </c>
      <c r="AQ17" s="140">
        <v>114625.81682799064</v>
      </c>
      <c r="AR17" s="100">
        <v>226100</v>
      </c>
      <c r="AS17" s="140">
        <v>114625.81682799064</v>
      </c>
      <c r="AT17" s="100">
        <v>120561</v>
      </c>
      <c r="AU17" s="140">
        <v>114625.81682799064</v>
      </c>
      <c r="AV17" s="100">
        <v>9512</v>
      </c>
      <c r="AW17" s="140">
        <v>9512</v>
      </c>
      <c r="AX17" s="100"/>
      <c r="AY17" s="140"/>
      <c r="AZ17" s="100"/>
      <c r="BA17" s="140"/>
      <c r="BB17" s="100"/>
      <c r="BC17" s="140"/>
      <c r="BD17" s="100"/>
      <c r="BE17" s="140"/>
      <c r="BF17" s="100"/>
      <c r="BH17" s="163">
        <f t="shared" si="10"/>
        <v>-54329.586221149715</v>
      </c>
    </row>
    <row r="18" spans="2:60" x14ac:dyDescent="0.25">
      <c r="B18" s="148" t="s">
        <v>271</v>
      </c>
      <c r="C18" s="141" t="s">
        <v>270</v>
      </c>
      <c r="D18" s="142" t="s">
        <v>150</v>
      </c>
      <c r="E18" s="142"/>
      <c r="F18" s="141">
        <v>0</v>
      </c>
      <c r="G18" s="142">
        <v>740000</v>
      </c>
      <c r="H18" s="143">
        <v>4.5999999999999999E-2</v>
      </c>
      <c r="I18" s="144">
        <v>45503</v>
      </c>
      <c r="J18" s="145"/>
      <c r="K18" s="140">
        <v>0</v>
      </c>
      <c r="L18" s="100">
        <v>0</v>
      </c>
      <c r="M18" s="140">
        <v>0</v>
      </c>
      <c r="N18" s="142">
        <v>0</v>
      </c>
      <c r="O18" s="140">
        <v>0</v>
      </c>
      <c r="P18" s="100">
        <v>0</v>
      </c>
      <c r="Q18" s="140">
        <v>0</v>
      </c>
      <c r="R18" s="100">
        <v>0</v>
      </c>
      <c r="S18" s="140">
        <v>34193.058365108947</v>
      </c>
      <c r="T18" s="100">
        <v>722661.52290833439</v>
      </c>
      <c r="U18" s="140">
        <v>68386.116730217895</v>
      </c>
      <c r="V18" s="100">
        <v>686767.34036551241</v>
      </c>
      <c r="W18" s="140">
        <v>68386.116730217895</v>
      </c>
      <c r="X18" s="100">
        <v>649186.76537886821</v>
      </c>
      <c r="Y18" s="140">
        <v>68386.116730217895</v>
      </c>
      <c r="Z18" s="100">
        <v>609840.56729671638</v>
      </c>
      <c r="AA18" s="140">
        <v>68386.116730217895</v>
      </c>
      <c r="AB18" s="100">
        <v>568645.79302649479</v>
      </c>
      <c r="AC18" s="140">
        <v>68386.116730217895</v>
      </c>
      <c r="AD18" s="100">
        <v>525515.59214580816</v>
      </c>
      <c r="AE18" s="140">
        <v>68386.116730217895</v>
      </c>
      <c r="AF18" s="100">
        <v>480359</v>
      </c>
      <c r="AG18" s="140">
        <v>68386.116730217895</v>
      </c>
      <c r="AH18" s="100">
        <v>433081</v>
      </c>
      <c r="AI18" s="140">
        <v>68386.116730217895</v>
      </c>
      <c r="AJ18" s="100">
        <v>383582</v>
      </c>
      <c r="AK18" s="140">
        <v>68386.116730217895</v>
      </c>
      <c r="AL18" s="100">
        <v>331757</v>
      </c>
      <c r="AM18" s="140">
        <v>68386.116730217895</v>
      </c>
      <c r="AN18" s="100">
        <v>277497</v>
      </c>
      <c r="AO18" s="140">
        <v>68386.116730217895</v>
      </c>
      <c r="AP18" s="100">
        <v>220688</v>
      </c>
      <c r="AQ18" s="140">
        <v>68386.116730217895</v>
      </c>
      <c r="AR18" s="100">
        <v>161209</v>
      </c>
      <c r="AS18" s="140">
        <v>68386.116730217895</v>
      </c>
      <c r="AT18" s="100">
        <v>98937</v>
      </c>
      <c r="AU18" s="140">
        <v>68386.116730217895</v>
      </c>
      <c r="AV18" s="100">
        <v>33739</v>
      </c>
      <c r="AW18" s="140">
        <v>33739</v>
      </c>
      <c r="AX18" s="100"/>
      <c r="AY18" s="140"/>
      <c r="AZ18" s="100"/>
      <c r="BA18" s="140"/>
      <c r="BB18" s="100"/>
      <c r="BC18" s="140"/>
      <c r="BD18" s="100"/>
      <c r="BE18" s="140"/>
      <c r="BF18" s="100"/>
      <c r="BH18" s="163">
        <f t="shared" si="10"/>
        <v>-30805.541743573689</v>
      </c>
    </row>
    <row r="19" spans="2:60" x14ac:dyDescent="0.25">
      <c r="B19" s="148" t="s">
        <v>272</v>
      </c>
      <c r="C19" s="141" t="s">
        <v>266</v>
      </c>
      <c r="D19" s="142" t="s">
        <v>151</v>
      </c>
      <c r="E19" s="142"/>
      <c r="F19" s="142">
        <v>223326101166</v>
      </c>
      <c r="G19" s="142">
        <v>840000</v>
      </c>
      <c r="H19" s="143">
        <v>4.53E-2</v>
      </c>
      <c r="I19" s="144">
        <v>45275</v>
      </c>
      <c r="J19" s="145"/>
      <c r="K19" s="140">
        <v>0</v>
      </c>
      <c r="L19" s="100">
        <v>0</v>
      </c>
      <c r="M19" s="140">
        <v>0</v>
      </c>
      <c r="N19" s="142">
        <v>0</v>
      </c>
      <c r="O19" s="140">
        <v>0</v>
      </c>
      <c r="P19" s="100">
        <v>0</v>
      </c>
      <c r="Q19" s="140">
        <v>3171</v>
      </c>
      <c r="R19" s="100">
        <v>840000</v>
      </c>
      <c r="S19" s="140">
        <v>41642.1</v>
      </c>
      <c r="T19" s="100">
        <v>836409.9</v>
      </c>
      <c r="U19" s="140">
        <v>81133.200000000012</v>
      </c>
      <c r="V19" s="100">
        <v>792256.82392726513</v>
      </c>
      <c r="W19" s="140">
        <v>81133.200000000012</v>
      </c>
      <c r="X19" s="100">
        <v>746061.55869565415</v>
      </c>
      <c r="Y19" s="140">
        <v>81133.200000000012</v>
      </c>
      <c r="Z19" s="100">
        <v>697729.64799698698</v>
      </c>
      <c r="AA19" s="140">
        <v>81133.200000000012</v>
      </c>
      <c r="AB19" s="100">
        <v>647162.26668481238</v>
      </c>
      <c r="AC19" s="140">
        <v>81133.200000000012</v>
      </c>
      <c r="AD19" s="100">
        <v>594256.01870481262</v>
      </c>
      <c r="AE19" s="140">
        <v>81133.200000000012</v>
      </c>
      <c r="AF19" s="100">
        <v>538903</v>
      </c>
      <c r="AG19" s="140">
        <v>81133.200000000012</v>
      </c>
      <c r="AH19" s="100">
        <v>480989</v>
      </c>
      <c r="AI19" s="140">
        <v>81133.200000000012</v>
      </c>
      <c r="AJ19" s="100">
        <v>420397</v>
      </c>
      <c r="AK19" s="140">
        <v>81133.200000000012</v>
      </c>
      <c r="AL19" s="100">
        <v>357002</v>
      </c>
      <c r="AM19" s="140">
        <v>81133.200000000012</v>
      </c>
      <c r="AN19" s="100">
        <v>290675</v>
      </c>
      <c r="AO19" s="140">
        <v>81133.200000000012</v>
      </c>
      <c r="AP19" s="100">
        <v>221281</v>
      </c>
      <c r="AQ19" s="140">
        <v>81133.200000000012</v>
      </c>
      <c r="AR19" s="100">
        <v>148677</v>
      </c>
      <c r="AS19" s="140">
        <v>81133.200000000012</v>
      </c>
      <c r="AT19" s="100">
        <v>72714</v>
      </c>
      <c r="AU19" s="140">
        <v>72714</v>
      </c>
      <c r="AV19" s="100"/>
      <c r="AW19" s="140"/>
      <c r="AX19" s="100"/>
      <c r="AY19" s="140"/>
      <c r="AZ19" s="100"/>
      <c r="BA19" s="140"/>
      <c r="BB19" s="100"/>
      <c r="BC19" s="140"/>
      <c r="BD19" s="100"/>
      <c r="BE19" s="140"/>
      <c r="BF19" s="100"/>
      <c r="BH19" s="163">
        <f t="shared" si="10"/>
        <v>-34937.934768389037</v>
      </c>
    </row>
    <row r="20" spans="2:60" x14ac:dyDescent="0.25">
      <c r="B20" s="140" t="s">
        <v>273</v>
      </c>
      <c r="C20" s="141" t="s">
        <v>19</v>
      </c>
      <c r="D20" s="142" t="s">
        <v>150</v>
      </c>
      <c r="E20" s="142"/>
      <c r="F20" s="141">
        <v>0</v>
      </c>
      <c r="G20" s="142">
        <v>900000</v>
      </c>
      <c r="H20" s="143">
        <v>1.2E-2</v>
      </c>
      <c r="I20" s="144">
        <v>44742</v>
      </c>
      <c r="J20" s="145"/>
      <c r="K20" s="140">
        <v>0</v>
      </c>
      <c r="L20" s="100">
        <v>0</v>
      </c>
      <c r="M20" s="140">
        <v>0</v>
      </c>
      <c r="N20" s="142">
        <v>0</v>
      </c>
      <c r="O20" s="140">
        <v>134432.12358912828</v>
      </c>
      <c r="P20" s="100">
        <v>775996.98004010436</v>
      </c>
      <c r="Q20" s="140">
        <v>134432.12358912828</v>
      </c>
      <c r="R20" s="100">
        <v>650501.45973197138</v>
      </c>
      <c r="S20" s="140">
        <v>134432.12358912828</v>
      </c>
      <c r="T20" s="149">
        <v>523495.47534140974</v>
      </c>
      <c r="U20" s="140">
        <v>134432.12358912828</v>
      </c>
      <c r="V20" s="100">
        <v>394960.84692272329</v>
      </c>
      <c r="W20" s="140">
        <v>134432.12358912828</v>
      </c>
      <c r="X20" s="100">
        <v>264879.17571638949</v>
      </c>
      <c r="Y20" s="140">
        <v>134432.12358912828</v>
      </c>
      <c r="Z20" s="100">
        <v>133231.84151541631</v>
      </c>
      <c r="AA20" s="140">
        <v>134031.2325645088</v>
      </c>
      <c r="AB20" s="100">
        <v>0</v>
      </c>
      <c r="AC20" s="140">
        <v>0</v>
      </c>
      <c r="AD20" s="100">
        <v>0</v>
      </c>
      <c r="AE20" s="140">
        <v>0</v>
      </c>
      <c r="AF20" s="100">
        <v>0</v>
      </c>
      <c r="AG20" s="140">
        <v>0</v>
      </c>
      <c r="AH20" s="100">
        <v>0</v>
      </c>
      <c r="AI20" s="140">
        <v>0</v>
      </c>
      <c r="AJ20" s="100">
        <v>0</v>
      </c>
      <c r="AK20" s="140">
        <v>0</v>
      </c>
      <c r="AL20" s="100">
        <v>0</v>
      </c>
      <c r="AM20" s="140">
        <v>0</v>
      </c>
      <c r="AN20" s="100">
        <v>0</v>
      </c>
      <c r="AO20" s="140">
        <v>0</v>
      </c>
      <c r="AP20" s="100">
        <v>0</v>
      </c>
      <c r="AQ20" s="140">
        <v>0</v>
      </c>
      <c r="AR20" s="100">
        <v>0</v>
      </c>
      <c r="AS20" s="140">
        <v>0</v>
      </c>
      <c r="AT20" s="100">
        <v>0</v>
      </c>
      <c r="AU20" s="140">
        <v>0</v>
      </c>
      <c r="AV20" s="100">
        <v>0</v>
      </c>
      <c r="AW20" s="140">
        <v>0</v>
      </c>
      <c r="AX20" s="100">
        <v>0</v>
      </c>
      <c r="AY20" s="140">
        <v>0</v>
      </c>
      <c r="AZ20" s="100">
        <v>0</v>
      </c>
      <c r="BA20" s="140">
        <v>0</v>
      </c>
      <c r="BB20" s="100">
        <v>0</v>
      </c>
      <c r="BC20" s="140">
        <v>0</v>
      </c>
      <c r="BD20" s="100">
        <v>0</v>
      </c>
      <c r="BE20" s="140">
        <v>0</v>
      </c>
      <c r="BF20" s="100">
        <v>0</v>
      </c>
      <c r="BH20" s="163">
        <f t="shared" si="10"/>
        <v>-4350.452382794494</v>
      </c>
    </row>
    <row r="21" spans="2:60" x14ac:dyDescent="0.25">
      <c r="B21" s="140" t="s">
        <v>273</v>
      </c>
      <c r="C21" s="141" t="s">
        <v>18</v>
      </c>
      <c r="D21" s="142" t="s">
        <v>150</v>
      </c>
      <c r="E21" s="142"/>
      <c r="F21" s="141">
        <v>0</v>
      </c>
      <c r="G21" s="142">
        <v>900000</v>
      </c>
      <c r="H21" s="143">
        <v>1.2E-2</v>
      </c>
      <c r="I21" s="144">
        <v>44742</v>
      </c>
      <c r="J21" s="145"/>
      <c r="K21" s="140">
        <v>0</v>
      </c>
      <c r="L21" s="100">
        <v>0</v>
      </c>
      <c r="M21" s="140">
        <v>0</v>
      </c>
      <c r="N21" s="142">
        <v>0</v>
      </c>
      <c r="O21" s="140">
        <v>134432.12358912828</v>
      </c>
      <c r="P21" s="100">
        <v>775996.98004010436</v>
      </c>
      <c r="Q21" s="140">
        <v>134432.12358912828</v>
      </c>
      <c r="R21" s="100">
        <v>650501.45973197138</v>
      </c>
      <c r="S21" s="140">
        <v>134432.12358912828</v>
      </c>
      <c r="T21" s="149">
        <v>523495.47534140974</v>
      </c>
      <c r="U21" s="140">
        <v>134432.12358912828</v>
      </c>
      <c r="V21" s="100">
        <v>394960.84692272329</v>
      </c>
      <c r="W21" s="140">
        <v>134432.12358912828</v>
      </c>
      <c r="X21" s="100">
        <v>264879.17571638949</v>
      </c>
      <c r="Y21" s="140">
        <v>134432.12358912828</v>
      </c>
      <c r="Z21" s="100">
        <v>133231.84151541631</v>
      </c>
      <c r="AA21" s="140">
        <v>134031.2325645088</v>
      </c>
      <c r="AB21" s="100">
        <v>0</v>
      </c>
      <c r="AC21" s="140">
        <v>0</v>
      </c>
      <c r="AD21" s="100">
        <v>0</v>
      </c>
      <c r="AE21" s="140">
        <v>0</v>
      </c>
      <c r="AF21" s="100">
        <v>0</v>
      </c>
      <c r="AG21" s="140">
        <v>0</v>
      </c>
      <c r="AH21" s="100">
        <v>0</v>
      </c>
      <c r="AI21" s="140">
        <v>0</v>
      </c>
      <c r="AJ21" s="100">
        <v>0</v>
      </c>
      <c r="AK21" s="140">
        <v>0</v>
      </c>
      <c r="AL21" s="100">
        <v>0</v>
      </c>
      <c r="AM21" s="140">
        <v>0</v>
      </c>
      <c r="AN21" s="100">
        <v>0</v>
      </c>
      <c r="AO21" s="140">
        <v>0</v>
      </c>
      <c r="AP21" s="100">
        <v>0</v>
      </c>
      <c r="AQ21" s="140">
        <v>0</v>
      </c>
      <c r="AR21" s="100">
        <v>0</v>
      </c>
      <c r="AS21" s="140">
        <v>0</v>
      </c>
      <c r="AT21" s="100">
        <v>0</v>
      </c>
      <c r="AU21" s="140">
        <v>0</v>
      </c>
      <c r="AV21" s="100">
        <v>0</v>
      </c>
      <c r="AW21" s="140">
        <v>0</v>
      </c>
      <c r="AX21" s="100">
        <v>0</v>
      </c>
      <c r="AY21" s="140">
        <v>0</v>
      </c>
      <c r="AZ21" s="100">
        <v>0</v>
      </c>
      <c r="BA21" s="140">
        <v>0</v>
      </c>
      <c r="BB21" s="100">
        <v>0</v>
      </c>
      <c r="BC21" s="140">
        <v>0</v>
      </c>
      <c r="BD21" s="100">
        <v>0</v>
      </c>
      <c r="BE21" s="140">
        <v>0</v>
      </c>
      <c r="BF21" s="100">
        <v>0</v>
      </c>
      <c r="BH21" s="163">
        <f t="shared" si="10"/>
        <v>-4350.452382794494</v>
      </c>
    </row>
    <row r="22" spans="2:60" x14ac:dyDescent="0.25">
      <c r="B22" s="140" t="s">
        <v>274</v>
      </c>
      <c r="C22" s="141" t="s">
        <v>19</v>
      </c>
      <c r="D22" s="142" t="s">
        <v>147</v>
      </c>
      <c r="E22" s="142"/>
      <c r="F22" s="141">
        <v>0</v>
      </c>
      <c r="G22" s="142">
        <v>793000</v>
      </c>
      <c r="H22" s="143">
        <v>7.8100000000000001E-3</v>
      </c>
      <c r="I22" s="144">
        <v>43637</v>
      </c>
      <c r="J22" s="145"/>
      <c r="K22" s="140">
        <v>120019.13</v>
      </c>
      <c r="L22" s="100">
        <v>679714.29</v>
      </c>
      <c r="M22" s="140">
        <v>119134.36</v>
      </c>
      <c r="N22" s="142">
        <v>566428.58863013447</v>
      </c>
      <c r="O22" s="140">
        <v>119457.23</v>
      </c>
      <c r="P22" s="100">
        <v>453142.88592867675</v>
      </c>
      <c r="Q22" s="140">
        <v>130182.54000000001</v>
      </c>
      <c r="R22" s="100">
        <v>339857.17592867673</v>
      </c>
      <c r="S22" s="140">
        <v>128413.04</v>
      </c>
      <c r="T22" s="149">
        <v>226571.49592867677</v>
      </c>
      <c r="U22" s="140">
        <v>122954.35</v>
      </c>
      <c r="V22" s="100">
        <v>113285.78592867678</v>
      </c>
      <c r="W22" s="140">
        <v>117674.14</v>
      </c>
      <c r="X22" s="100">
        <v>0</v>
      </c>
      <c r="Y22" s="140">
        <v>0</v>
      </c>
      <c r="Z22" s="100">
        <v>0</v>
      </c>
      <c r="AA22" s="140">
        <v>0</v>
      </c>
      <c r="AB22" s="100">
        <v>0</v>
      </c>
      <c r="AC22" s="140">
        <v>0</v>
      </c>
      <c r="AD22" s="100">
        <v>0</v>
      </c>
      <c r="AE22" s="140">
        <v>0</v>
      </c>
      <c r="AF22" s="100">
        <v>0</v>
      </c>
      <c r="AG22" s="140">
        <v>0</v>
      </c>
      <c r="AH22" s="100">
        <v>0</v>
      </c>
      <c r="AI22" s="140">
        <v>0</v>
      </c>
      <c r="AJ22" s="100">
        <v>0</v>
      </c>
      <c r="AK22" s="140">
        <v>0</v>
      </c>
      <c r="AL22" s="100">
        <v>0</v>
      </c>
      <c r="AM22" s="140">
        <v>0</v>
      </c>
      <c r="AN22" s="100">
        <v>0</v>
      </c>
      <c r="AO22" s="140">
        <v>0</v>
      </c>
      <c r="AP22" s="100">
        <v>0</v>
      </c>
      <c r="AQ22" s="140">
        <v>0</v>
      </c>
      <c r="AR22" s="100">
        <v>0</v>
      </c>
      <c r="AS22" s="140">
        <v>0</v>
      </c>
      <c r="AT22" s="100">
        <v>0</v>
      </c>
      <c r="AU22" s="140">
        <v>0</v>
      </c>
      <c r="AV22" s="100">
        <v>0</v>
      </c>
      <c r="AW22" s="140">
        <v>0</v>
      </c>
      <c r="AX22" s="100">
        <v>0</v>
      </c>
      <c r="AY22" s="140">
        <v>0</v>
      </c>
      <c r="AZ22" s="100">
        <v>0</v>
      </c>
      <c r="BA22" s="140">
        <v>0</v>
      </c>
      <c r="BB22" s="100">
        <v>0</v>
      </c>
      <c r="BC22" s="140">
        <v>0</v>
      </c>
      <c r="BD22" s="100">
        <v>0</v>
      </c>
      <c r="BE22" s="140">
        <v>0</v>
      </c>
      <c r="BF22" s="100">
        <v>0</v>
      </c>
      <c r="BH22" s="163">
        <f t="shared" si="10"/>
        <v>-9668.5640713232278</v>
      </c>
    </row>
    <row r="23" spans="2:60" x14ac:dyDescent="0.25">
      <c r="B23" s="140" t="s">
        <v>274</v>
      </c>
      <c r="C23" s="141" t="s">
        <v>18</v>
      </c>
      <c r="D23" s="142" t="s">
        <v>147</v>
      </c>
      <c r="E23" s="142"/>
      <c r="F23" s="141">
        <v>0</v>
      </c>
      <c r="G23" s="142">
        <v>793000</v>
      </c>
      <c r="H23" s="143">
        <v>7.8100000000000001E-3</v>
      </c>
      <c r="I23" s="144">
        <v>43637</v>
      </c>
      <c r="J23" s="145"/>
      <c r="K23" s="140">
        <v>120019.13</v>
      </c>
      <c r="L23" s="100">
        <v>679714.29</v>
      </c>
      <c r="M23" s="140">
        <v>119134.36</v>
      </c>
      <c r="N23" s="142">
        <v>566428.58863013447</v>
      </c>
      <c r="O23" s="140">
        <v>119457.23</v>
      </c>
      <c r="P23" s="100">
        <v>453142.88592867675</v>
      </c>
      <c r="Q23" s="140">
        <v>130182.54000000001</v>
      </c>
      <c r="R23" s="100">
        <v>339857.17592867673</v>
      </c>
      <c r="S23" s="140">
        <v>128413.04</v>
      </c>
      <c r="T23" s="149">
        <v>226571.49592867677</v>
      </c>
      <c r="U23" s="140">
        <v>122954.35</v>
      </c>
      <c r="V23" s="100">
        <v>113285.78592867678</v>
      </c>
      <c r="W23" s="140">
        <v>117674.14</v>
      </c>
      <c r="X23" s="100">
        <v>0</v>
      </c>
      <c r="Y23" s="140">
        <v>0</v>
      </c>
      <c r="Z23" s="100">
        <v>0</v>
      </c>
      <c r="AA23" s="140">
        <v>0</v>
      </c>
      <c r="AB23" s="100">
        <v>0</v>
      </c>
      <c r="AC23" s="140">
        <v>0</v>
      </c>
      <c r="AD23" s="100">
        <v>0</v>
      </c>
      <c r="AE23" s="140">
        <v>0</v>
      </c>
      <c r="AF23" s="100">
        <v>0</v>
      </c>
      <c r="AG23" s="140">
        <v>0</v>
      </c>
      <c r="AH23" s="100">
        <v>0</v>
      </c>
      <c r="AI23" s="140">
        <v>0</v>
      </c>
      <c r="AJ23" s="100">
        <v>0</v>
      </c>
      <c r="AK23" s="140">
        <v>0</v>
      </c>
      <c r="AL23" s="100">
        <v>0</v>
      </c>
      <c r="AM23" s="140">
        <v>0</v>
      </c>
      <c r="AN23" s="100">
        <v>0</v>
      </c>
      <c r="AO23" s="140">
        <v>0</v>
      </c>
      <c r="AP23" s="100">
        <v>0</v>
      </c>
      <c r="AQ23" s="140">
        <v>0</v>
      </c>
      <c r="AR23" s="100">
        <v>0</v>
      </c>
      <c r="AS23" s="140">
        <v>0</v>
      </c>
      <c r="AT23" s="100">
        <v>0</v>
      </c>
      <c r="AU23" s="140">
        <v>0</v>
      </c>
      <c r="AV23" s="100">
        <v>0</v>
      </c>
      <c r="AW23" s="140">
        <v>0</v>
      </c>
      <c r="AX23" s="100">
        <v>0</v>
      </c>
      <c r="AY23" s="140">
        <v>0</v>
      </c>
      <c r="AZ23" s="100">
        <v>0</v>
      </c>
      <c r="BA23" s="140">
        <v>0</v>
      </c>
      <c r="BB23" s="100">
        <v>0</v>
      </c>
      <c r="BC23" s="140">
        <v>0</v>
      </c>
      <c r="BD23" s="100">
        <v>0</v>
      </c>
      <c r="BE23" s="140">
        <v>0</v>
      </c>
      <c r="BF23" s="100">
        <v>0</v>
      </c>
      <c r="BH23" s="163">
        <f t="shared" si="10"/>
        <v>-9668.5640713232278</v>
      </c>
    </row>
    <row r="24" spans="2:60" x14ac:dyDescent="0.25">
      <c r="B24" s="150"/>
      <c r="C24" s="151"/>
      <c r="D24" s="151"/>
      <c r="E24" s="151"/>
      <c r="F24" s="151"/>
      <c r="G24" s="152">
        <v>16030512.57</v>
      </c>
      <c r="H24" s="152"/>
      <c r="I24" s="153"/>
      <c r="J24" s="154"/>
      <c r="K24" s="152">
        <v>493718.32862159226</v>
      </c>
      <c r="L24" s="155">
        <v>4932847.6115595559</v>
      </c>
      <c r="M24" s="156">
        <v>588727.9963465922</v>
      </c>
      <c r="N24" s="157">
        <v>4413963.3051598612</v>
      </c>
      <c r="O24" s="156">
        <v>922288.38952484867</v>
      </c>
      <c r="P24" s="155">
        <v>7312940.7678007921</v>
      </c>
      <c r="Q24" s="156">
        <v>1132575.0355248486</v>
      </c>
      <c r="R24" s="155">
        <v>10171202.96393575</v>
      </c>
      <c r="S24" s="156">
        <v>2289541.8381043239</v>
      </c>
      <c r="T24" s="155">
        <v>10353883.643267363</v>
      </c>
      <c r="U24" s="156">
        <v>2312745.2611667505</v>
      </c>
      <c r="V24" s="155">
        <v>8710696.1453115679</v>
      </c>
      <c r="W24" s="156">
        <v>1305258.4387750835</v>
      </c>
      <c r="X24" s="155">
        <v>7689411.4140965333</v>
      </c>
      <c r="Y24" s="156">
        <v>1064688.7412167506</v>
      </c>
      <c r="Z24" s="155">
        <v>6879980.4146645274</v>
      </c>
      <c r="AA24" s="156">
        <v>1067342.3291675118</v>
      </c>
      <c r="AB24" s="155">
        <v>6046390.7957314737</v>
      </c>
      <c r="AC24" s="156">
        <v>800431.65403849422</v>
      </c>
      <c r="AD24" s="155">
        <v>5459707.1982055735</v>
      </c>
      <c r="AE24" s="156">
        <v>800431.65403849422</v>
      </c>
      <c r="AF24" s="155">
        <v>5459707.1982055735</v>
      </c>
      <c r="AG24" s="156">
        <v>800431.65403849422</v>
      </c>
      <c r="AH24" s="155">
        <v>5459707.1982055735</v>
      </c>
      <c r="AI24" s="156">
        <v>800431.65403849422</v>
      </c>
      <c r="AJ24" s="155">
        <v>5459707.1982055735</v>
      </c>
      <c r="AK24" s="156">
        <v>800431.65403849422</v>
      </c>
      <c r="AL24" s="155">
        <v>5459707.1982055735</v>
      </c>
      <c r="AM24" s="156">
        <v>800431.65403849422</v>
      </c>
      <c r="AN24" s="155">
        <v>5459707.1982055735</v>
      </c>
      <c r="AO24" s="156">
        <v>800431.65403849422</v>
      </c>
      <c r="AP24" s="155">
        <v>5459707.1982055735</v>
      </c>
      <c r="AQ24" s="156">
        <v>800431.65403849422</v>
      </c>
      <c r="AR24" s="155">
        <v>5459707.1982055735</v>
      </c>
      <c r="AS24" s="156">
        <v>800431.65403849422</v>
      </c>
      <c r="AT24" s="155">
        <v>5459707.1982055735</v>
      </c>
      <c r="AU24" s="156">
        <v>800431.65403849422</v>
      </c>
      <c r="AV24" s="155">
        <v>5459707.1982055735</v>
      </c>
      <c r="AW24" s="156">
        <v>800431.65403849422</v>
      </c>
      <c r="AX24" s="155">
        <v>5459707.1982055735</v>
      </c>
      <c r="AY24" s="156">
        <v>800431.65403849422</v>
      </c>
      <c r="AZ24" s="155">
        <v>5459707.1982055735</v>
      </c>
      <c r="BA24" s="156">
        <v>800431.65403849422</v>
      </c>
      <c r="BB24" s="155">
        <v>5459707.1982055735</v>
      </c>
      <c r="BC24" s="156">
        <v>800431.65403849422</v>
      </c>
      <c r="BD24" s="155">
        <v>5459707.1982055735</v>
      </c>
      <c r="BE24" s="156">
        <v>800431.65403849422</v>
      </c>
      <c r="BF24" s="155">
        <v>5459707.1982055735</v>
      </c>
      <c r="BH24" s="163">
        <f t="shared" si="10"/>
        <v>-1291460.5299517158</v>
      </c>
    </row>
  </sheetData>
  <mergeCells count="24">
    <mergeCell ref="AG3:AH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BE3:BF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BDD</vt:lpstr>
      <vt:lpstr>Feuil1</vt:lpstr>
      <vt:lpstr>SCI 34 RUE HAUTE</vt:lpstr>
      <vt:lpstr>SCI LEGRAND</vt:lpstr>
      <vt:lpstr>SCI ARMEE ORIENT</vt:lpstr>
      <vt:lpstr>SCI CHENNEVIERES</vt:lpstr>
      <vt:lpstr>SCI TAVERNY</vt:lpstr>
      <vt:lpstr>SCI GENERAL JULES BRIMONT</vt:lpstr>
      <vt:lpstr>CONSO</vt:lpstr>
      <vt:lpstr>Emprunts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BORDESSOUL</dc:creator>
  <cp:lastModifiedBy>BRUNO BORDESSOUL</cp:lastModifiedBy>
  <dcterms:created xsi:type="dcterms:W3CDTF">2025-05-23T08:11:18Z</dcterms:created>
  <dcterms:modified xsi:type="dcterms:W3CDTF">2026-03-17T07:40:02Z</dcterms:modified>
</cp:coreProperties>
</file>